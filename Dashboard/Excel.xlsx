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Python/GITHUB_Resume_Projects/Test Engg/test_validation_project/Dashboard/"/>
    </mc:Choice>
  </mc:AlternateContent>
  <xr:revisionPtr revIDLastSave="14" documentId="8_{8B7F1BE8-3DCC-4047-AB7F-3AE6BF01E949}" xr6:coauthVersionLast="47" xr6:coauthVersionMax="47" xr10:uidLastSave="{9965C6FE-7949-4CA7-8996-D552B36E2E55}"/>
  <bookViews>
    <workbookView xWindow="8352" yWindow="144" windowWidth="14736" windowHeight="13452" xr2:uid="{1E562031-27E3-477A-9776-C78CE5DB9F41}"/>
  </bookViews>
  <sheets>
    <sheet name="Dashboard" sheetId="4" r:id="rId1"/>
    <sheet name="KPIs" sheetId="2" r:id="rId2"/>
    <sheet name="test_data" sheetId="1" r:id="rId3"/>
  </sheets>
  <calcPr calcId="0"/>
  <pivotCaches>
    <pivotCache cacheId="11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" i="2"/>
  <c r="B3" i="2"/>
  <c r="B9" i="2" l="1"/>
</calcChain>
</file>

<file path=xl/sharedStrings.xml><?xml version="1.0" encoding="utf-8"?>
<sst xmlns="http://schemas.openxmlformats.org/spreadsheetml/2006/main" count="2255" uniqueCount="448">
  <si>
    <t>Test_ID</t>
  </si>
  <si>
    <t>Date</t>
  </si>
  <si>
    <t>Device_ID</t>
  </si>
  <si>
    <t>Equipment</t>
  </si>
  <si>
    <t>Power</t>
  </si>
  <si>
    <t>WiFi</t>
  </si>
  <si>
    <t>Camera</t>
  </si>
  <si>
    <t>Linux_Check</t>
  </si>
  <si>
    <t>Python_Script</t>
  </si>
  <si>
    <t>Reliability_Test</t>
  </si>
  <si>
    <t>Overall_Result</t>
  </si>
  <si>
    <t>Issue</t>
  </si>
  <si>
    <t>T001</t>
  </si>
  <si>
    <t>D001</t>
  </si>
  <si>
    <t>Server</t>
  </si>
  <si>
    <t>Pass</t>
  </si>
  <si>
    <t>None</t>
  </si>
  <si>
    <t>T002</t>
  </si>
  <si>
    <t>D002</t>
  </si>
  <si>
    <t>T003</t>
  </si>
  <si>
    <t>D003</t>
  </si>
  <si>
    <t>Router</t>
  </si>
  <si>
    <t>T004</t>
  </si>
  <si>
    <t>D004</t>
  </si>
  <si>
    <t>T005</t>
  </si>
  <si>
    <t>D005</t>
  </si>
  <si>
    <t>Mobile_Device</t>
  </si>
  <si>
    <t>Fail</t>
  </si>
  <si>
    <t>WiFi Failure</t>
  </si>
  <si>
    <t>T006</t>
  </si>
  <si>
    <t>D006</t>
  </si>
  <si>
    <t>Script Error</t>
  </si>
  <si>
    <t>T007</t>
  </si>
  <si>
    <t>D007</t>
  </si>
  <si>
    <t>Switch</t>
  </si>
  <si>
    <t>Linux Error</t>
  </si>
  <si>
    <t>T008</t>
  </si>
  <si>
    <t>D008</t>
  </si>
  <si>
    <t>T009</t>
  </si>
  <si>
    <t>D009</t>
  </si>
  <si>
    <t>T010</t>
  </si>
  <si>
    <t>D010</t>
  </si>
  <si>
    <t>T011</t>
  </si>
  <si>
    <t>D011</t>
  </si>
  <si>
    <t>IoT_Device</t>
  </si>
  <si>
    <t>T012</t>
  </si>
  <si>
    <t>D012</t>
  </si>
  <si>
    <t>T013</t>
  </si>
  <si>
    <t>D013</t>
  </si>
  <si>
    <t>T014</t>
  </si>
  <si>
    <t>D014</t>
  </si>
  <si>
    <t>Camera Failure</t>
  </si>
  <si>
    <t>T015</t>
  </si>
  <si>
    <t>D015</t>
  </si>
  <si>
    <t>T016</t>
  </si>
  <si>
    <t>D016</t>
  </si>
  <si>
    <t>T017</t>
  </si>
  <si>
    <t>D017</t>
  </si>
  <si>
    <t>T018</t>
  </si>
  <si>
    <t>D018</t>
  </si>
  <si>
    <t>T019</t>
  </si>
  <si>
    <t>D019</t>
  </si>
  <si>
    <t>T020</t>
  </si>
  <si>
    <t>D020</t>
  </si>
  <si>
    <t>T021</t>
  </si>
  <si>
    <t>D021</t>
  </si>
  <si>
    <t>T022</t>
  </si>
  <si>
    <t>D022</t>
  </si>
  <si>
    <t>T023</t>
  </si>
  <si>
    <t>D023</t>
  </si>
  <si>
    <t>T024</t>
  </si>
  <si>
    <t>D024</t>
  </si>
  <si>
    <t>T025</t>
  </si>
  <si>
    <t>D025</t>
  </si>
  <si>
    <t>Power Failure</t>
  </si>
  <si>
    <t>T026</t>
  </si>
  <si>
    <t>D026</t>
  </si>
  <si>
    <t>T027</t>
  </si>
  <si>
    <t>D027</t>
  </si>
  <si>
    <t>T028</t>
  </si>
  <si>
    <t>D028</t>
  </si>
  <si>
    <t>T029</t>
  </si>
  <si>
    <t>D029</t>
  </si>
  <si>
    <t>T030</t>
  </si>
  <si>
    <t>D030</t>
  </si>
  <si>
    <t>T031</t>
  </si>
  <si>
    <t>D031</t>
  </si>
  <si>
    <t>T032</t>
  </si>
  <si>
    <t>D032</t>
  </si>
  <si>
    <t>T033</t>
  </si>
  <si>
    <t>D033</t>
  </si>
  <si>
    <t>T034</t>
  </si>
  <si>
    <t>D034</t>
  </si>
  <si>
    <t>T035</t>
  </si>
  <si>
    <t>D035</t>
  </si>
  <si>
    <t>T036</t>
  </si>
  <si>
    <t>D036</t>
  </si>
  <si>
    <t>T037</t>
  </si>
  <si>
    <t>D037</t>
  </si>
  <si>
    <t>T038</t>
  </si>
  <si>
    <t>D038</t>
  </si>
  <si>
    <t>T039</t>
  </si>
  <si>
    <t>D039</t>
  </si>
  <si>
    <t>T040</t>
  </si>
  <si>
    <t>D040</t>
  </si>
  <si>
    <t>T041</t>
  </si>
  <si>
    <t>D041</t>
  </si>
  <si>
    <t>T042</t>
  </si>
  <si>
    <t>D042</t>
  </si>
  <si>
    <t>T043</t>
  </si>
  <si>
    <t>D043</t>
  </si>
  <si>
    <t>T044</t>
  </si>
  <si>
    <t>D044</t>
  </si>
  <si>
    <t>T045</t>
  </si>
  <si>
    <t>D045</t>
  </si>
  <si>
    <t>T046</t>
  </si>
  <si>
    <t>D046</t>
  </si>
  <si>
    <t>T047</t>
  </si>
  <si>
    <t>D047</t>
  </si>
  <si>
    <t>T048</t>
  </si>
  <si>
    <t>D048</t>
  </si>
  <si>
    <t>T049</t>
  </si>
  <si>
    <t>D049</t>
  </si>
  <si>
    <t>T050</t>
  </si>
  <si>
    <t>D050</t>
  </si>
  <si>
    <t>T051</t>
  </si>
  <si>
    <t>D051</t>
  </si>
  <si>
    <t>T052</t>
  </si>
  <si>
    <t>D052</t>
  </si>
  <si>
    <t>T053</t>
  </si>
  <si>
    <t>D053</t>
  </si>
  <si>
    <t>T054</t>
  </si>
  <si>
    <t>D054</t>
  </si>
  <si>
    <t>T055</t>
  </si>
  <si>
    <t>D055</t>
  </si>
  <si>
    <t>T056</t>
  </si>
  <si>
    <t>D056</t>
  </si>
  <si>
    <t>T057</t>
  </si>
  <si>
    <t>D057</t>
  </si>
  <si>
    <t>T058</t>
  </si>
  <si>
    <t>D058</t>
  </si>
  <si>
    <t>T059</t>
  </si>
  <si>
    <t>D059</t>
  </si>
  <si>
    <t>T060</t>
  </si>
  <si>
    <t>D060</t>
  </si>
  <si>
    <t>T061</t>
  </si>
  <si>
    <t>D061</t>
  </si>
  <si>
    <t>T062</t>
  </si>
  <si>
    <t>D062</t>
  </si>
  <si>
    <t>T063</t>
  </si>
  <si>
    <t>D063</t>
  </si>
  <si>
    <t>T064</t>
  </si>
  <si>
    <t>D064</t>
  </si>
  <si>
    <t>T065</t>
  </si>
  <si>
    <t>D065</t>
  </si>
  <si>
    <t>T066</t>
  </si>
  <si>
    <t>D066</t>
  </si>
  <si>
    <t>T067</t>
  </si>
  <si>
    <t>D067</t>
  </si>
  <si>
    <t>T068</t>
  </si>
  <si>
    <t>D068</t>
  </si>
  <si>
    <t>T069</t>
  </si>
  <si>
    <t>D069</t>
  </si>
  <si>
    <t>T070</t>
  </si>
  <si>
    <t>D070</t>
  </si>
  <si>
    <t>T071</t>
  </si>
  <si>
    <t>D071</t>
  </si>
  <si>
    <t>T072</t>
  </si>
  <si>
    <t>D072</t>
  </si>
  <si>
    <t>T073</t>
  </si>
  <si>
    <t>D073</t>
  </si>
  <si>
    <t>T074</t>
  </si>
  <si>
    <t>D074</t>
  </si>
  <si>
    <t>T075</t>
  </si>
  <si>
    <t>D075</t>
  </si>
  <si>
    <t>T076</t>
  </si>
  <si>
    <t>D076</t>
  </si>
  <si>
    <t>T077</t>
  </si>
  <si>
    <t>D077</t>
  </si>
  <si>
    <t>T078</t>
  </si>
  <si>
    <t>D078</t>
  </si>
  <si>
    <t>T079</t>
  </si>
  <si>
    <t>D079</t>
  </si>
  <si>
    <t>T080</t>
  </si>
  <si>
    <t>D080</t>
  </si>
  <si>
    <t>T081</t>
  </si>
  <si>
    <t>D081</t>
  </si>
  <si>
    <t>T082</t>
  </si>
  <si>
    <t>D082</t>
  </si>
  <si>
    <t>T083</t>
  </si>
  <si>
    <t>D083</t>
  </si>
  <si>
    <t>T084</t>
  </si>
  <si>
    <t>D084</t>
  </si>
  <si>
    <t>T085</t>
  </si>
  <si>
    <t>D085</t>
  </si>
  <si>
    <t>T086</t>
  </si>
  <si>
    <t>D086</t>
  </si>
  <si>
    <t>T087</t>
  </si>
  <si>
    <t>D087</t>
  </si>
  <si>
    <t>T088</t>
  </si>
  <si>
    <t>D088</t>
  </si>
  <si>
    <t>T089</t>
  </si>
  <si>
    <t>D089</t>
  </si>
  <si>
    <t>T090</t>
  </si>
  <si>
    <t>D090</t>
  </si>
  <si>
    <t>T091</t>
  </si>
  <si>
    <t>D091</t>
  </si>
  <si>
    <t>T092</t>
  </si>
  <si>
    <t>D092</t>
  </si>
  <si>
    <t>T093</t>
  </si>
  <si>
    <t>D093</t>
  </si>
  <si>
    <t>T094</t>
  </si>
  <si>
    <t>D094</t>
  </si>
  <si>
    <t>T095</t>
  </si>
  <si>
    <t>D095</t>
  </si>
  <si>
    <t>T096</t>
  </si>
  <si>
    <t>D096</t>
  </si>
  <si>
    <t>T097</t>
  </si>
  <si>
    <t>D097</t>
  </si>
  <si>
    <t>T098</t>
  </si>
  <si>
    <t>D098</t>
  </si>
  <si>
    <t>T099</t>
  </si>
  <si>
    <t>D099</t>
  </si>
  <si>
    <t>T100</t>
  </si>
  <si>
    <t>D100</t>
  </si>
  <si>
    <t>T101</t>
  </si>
  <si>
    <t>D101</t>
  </si>
  <si>
    <t>T102</t>
  </si>
  <si>
    <t>D102</t>
  </si>
  <si>
    <t>T103</t>
  </si>
  <si>
    <t>D103</t>
  </si>
  <si>
    <t>T104</t>
  </si>
  <si>
    <t>D104</t>
  </si>
  <si>
    <t>T105</t>
  </si>
  <si>
    <t>D105</t>
  </si>
  <si>
    <t>T106</t>
  </si>
  <si>
    <t>D106</t>
  </si>
  <si>
    <t>T107</t>
  </si>
  <si>
    <t>D107</t>
  </si>
  <si>
    <t>T108</t>
  </si>
  <si>
    <t>D108</t>
  </si>
  <si>
    <t>T109</t>
  </si>
  <si>
    <t>D109</t>
  </si>
  <si>
    <t>T110</t>
  </si>
  <si>
    <t>D110</t>
  </si>
  <si>
    <t>T111</t>
  </si>
  <si>
    <t>D111</t>
  </si>
  <si>
    <t>T112</t>
  </si>
  <si>
    <t>D112</t>
  </si>
  <si>
    <t>T113</t>
  </si>
  <si>
    <t>D113</t>
  </si>
  <si>
    <t>T114</t>
  </si>
  <si>
    <t>D114</t>
  </si>
  <si>
    <t>T115</t>
  </si>
  <si>
    <t>D115</t>
  </si>
  <si>
    <t>T116</t>
  </si>
  <si>
    <t>D116</t>
  </si>
  <si>
    <t>T117</t>
  </si>
  <si>
    <t>D117</t>
  </si>
  <si>
    <t>T118</t>
  </si>
  <si>
    <t>D118</t>
  </si>
  <si>
    <t>T119</t>
  </si>
  <si>
    <t>D119</t>
  </si>
  <si>
    <t>T120</t>
  </si>
  <si>
    <t>D120</t>
  </si>
  <si>
    <t>T121</t>
  </si>
  <si>
    <t>D121</t>
  </si>
  <si>
    <t>T122</t>
  </si>
  <si>
    <t>D122</t>
  </si>
  <si>
    <t>T123</t>
  </si>
  <si>
    <t>D123</t>
  </si>
  <si>
    <t>T124</t>
  </si>
  <si>
    <t>D124</t>
  </si>
  <si>
    <t>T125</t>
  </si>
  <si>
    <t>D125</t>
  </si>
  <si>
    <t>T126</t>
  </si>
  <si>
    <t>D126</t>
  </si>
  <si>
    <t>T127</t>
  </si>
  <si>
    <t>D127</t>
  </si>
  <si>
    <t>T128</t>
  </si>
  <si>
    <t>D128</t>
  </si>
  <si>
    <t>T129</t>
  </si>
  <si>
    <t>D129</t>
  </si>
  <si>
    <t>T130</t>
  </si>
  <si>
    <t>D130</t>
  </si>
  <si>
    <t>T131</t>
  </si>
  <si>
    <t>D131</t>
  </si>
  <si>
    <t>T132</t>
  </si>
  <si>
    <t>D132</t>
  </si>
  <si>
    <t>T133</t>
  </si>
  <si>
    <t>D133</t>
  </si>
  <si>
    <t>T134</t>
  </si>
  <si>
    <t>D134</t>
  </si>
  <si>
    <t>T135</t>
  </si>
  <si>
    <t>D135</t>
  </si>
  <si>
    <t>T136</t>
  </si>
  <si>
    <t>D136</t>
  </si>
  <si>
    <t>T137</t>
  </si>
  <si>
    <t>D137</t>
  </si>
  <si>
    <t>T138</t>
  </si>
  <si>
    <t>D138</t>
  </si>
  <si>
    <t>T139</t>
  </si>
  <si>
    <t>D139</t>
  </si>
  <si>
    <t>T140</t>
  </si>
  <si>
    <t>D140</t>
  </si>
  <si>
    <t>T141</t>
  </si>
  <si>
    <t>D141</t>
  </si>
  <si>
    <t>T142</t>
  </si>
  <si>
    <t>D142</t>
  </si>
  <si>
    <t>T143</t>
  </si>
  <si>
    <t>D143</t>
  </si>
  <si>
    <t>T144</t>
  </si>
  <si>
    <t>D144</t>
  </si>
  <si>
    <t>T145</t>
  </si>
  <si>
    <t>D145</t>
  </si>
  <si>
    <t>T146</t>
  </si>
  <si>
    <t>D146</t>
  </si>
  <si>
    <t>T147</t>
  </si>
  <si>
    <t>D147</t>
  </si>
  <si>
    <t>T148</t>
  </si>
  <si>
    <t>D148</t>
  </si>
  <si>
    <t>T149</t>
  </si>
  <si>
    <t>D149</t>
  </si>
  <si>
    <t>T150</t>
  </si>
  <si>
    <t>D150</t>
  </si>
  <si>
    <t>T151</t>
  </si>
  <si>
    <t>D151</t>
  </si>
  <si>
    <t>T152</t>
  </si>
  <si>
    <t>D152</t>
  </si>
  <si>
    <t>T153</t>
  </si>
  <si>
    <t>D153</t>
  </si>
  <si>
    <t>T154</t>
  </si>
  <si>
    <t>D154</t>
  </si>
  <si>
    <t>T155</t>
  </si>
  <si>
    <t>D155</t>
  </si>
  <si>
    <t>T156</t>
  </si>
  <si>
    <t>D156</t>
  </si>
  <si>
    <t>T157</t>
  </si>
  <si>
    <t>D157</t>
  </si>
  <si>
    <t>T158</t>
  </si>
  <si>
    <t>D158</t>
  </si>
  <si>
    <t>T159</t>
  </si>
  <si>
    <t>D159</t>
  </si>
  <si>
    <t>T160</t>
  </si>
  <si>
    <t>D160</t>
  </si>
  <si>
    <t>T161</t>
  </si>
  <si>
    <t>D161</t>
  </si>
  <si>
    <t>T162</t>
  </si>
  <si>
    <t>D162</t>
  </si>
  <si>
    <t>T163</t>
  </si>
  <si>
    <t>D163</t>
  </si>
  <si>
    <t>T164</t>
  </si>
  <si>
    <t>D164</t>
  </si>
  <si>
    <t>T165</t>
  </si>
  <si>
    <t>D165</t>
  </si>
  <si>
    <t>T166</t>
  </si>
  <si>
    <t>D166</t>
  </si>
  <si>
    <t>T167</t>
  </si>
  <si>
    <t>D167</t>
  </si>
  <si>
    <t>T168</t>
  </si>
  <si>
    <t>D168</t>
  </si>
  <si>
    <t>T169</t>
  </si>
  <si>
    <t>D169</t>
  </si>
  <si>
    <t>T170</t>
  </si>
  <si>
    <t>D170</t>
  </si>
  <si>
    <t>T171</t>
  </si>
  <si>
    <t>D171</t>
  </si>
  <si>
    <t>T172</t>
  </si>
  <si>
    <t>D172</t>
  </si>
  <si>
    <t>T173</t>
  </si>
  <si>
    <t>D173</t>
  </si>
  <si>
    <t>T174</t>
  </si>
  <si>
    <t>D174</t>
  </si>
  <si>
    <t>T175</t>
  </si>
  <si>
    <t>D175</t>
  </si>
  <si>
    <t>T176</t>
  </si>
  <si>
    <t>D176</t>
  </si>
  <si>
    <t>T177</t>
  </si>
  <si>
    <t>D177</t>
  </si>
  <si>
    <t>T178</t>
  </si>
  <si>
    <t>D178</t>
  </si>
  <si>
    <t>T179</t>
  </si>
  <si>
    <t>D179</t>
  </si>
  <si>
    <t>T180</t>
  </si>
  <si>
    <t>D180</t>
  </si>
  <si>
    <t>T181</t>
  </si>
  <si>
    <t>D181</t>
  </si>
  <si>
    <t>T182</t>
  </si>
  <si>
    <t>D182</t>
  </si>
  <si>
    <t>T183</t>
  </si>
  <si>
    <t>D183</t>
  </si>
  <si>
    <t>T184</t>
  </si>
  <si>
    <t>D184</t>
  </si>
  <si>
    <t>T185</t>
  </si>
  <si>
    <t>D185</t>
  </si>
  <si>
    <t>T186</t>
  </si>
  <si>
    <t>D186</t>
  </si>
  <si>
    <t>T187</t>
  </si>
  <si>
    <t>D187</t>
  </si>
  <si>
    <t>T188</t>
  </si>
  <si>
    <t>D188</t>
  </si>
  <si>
    <t>T189</t>
  </si>
  <si>
    <t>D189</t>
  </si>
  <si>
    <t>T190</t>
  </si>
  <si>
    <t>D190</t>
  </si>
  <si>
    <t>T191</t>
  </si>
  <si>
    <t>D191</t>
  </si>
  <si>
    <t>T192</t>
  </si>
  <si>
    <t>D192</t>
  </si>
  <si>
    <t>T193</t>
  </si>
  <si>
    <t>D193</t>
  </si>
  <si>
    <t>T194</t>
  </si>
  <si>
    <t>D194</t>
  </si>
  <si>
    <t>T195</t>
  </si>
  <si>
    <t>D195</t>
  </si>
  <si>
    <t>T196</t>
  </si>
  <si>
    <t>D196</t>
  </si>
  <si>
    <t>T197</t>
  </si>
  <si>
    <t>D197</t>
  </si>
  <si>
    <t>T198</t>
  </si>
  <si>
    <t>D198</t>
  </si>
  <si>
    <t>T199</t>
  </si>
  <si>
    <t>D199</t>
  </si>
  <si>
    <t>T200</t>
  </si>
  <si>
    <t>D200</t>
  </si>
  <si>
    <t>KPIs</t>
  </si>
  <si>
    <t xml:space="preserve">Total Tests = </t>
  </si>
  <si>
    <t xml:space="preserve">Passed Tests = </t>
  </si>
  <si>
    <t xml:space="preserve">Failed Tests = </t>
  </si>
  <si>
    <t xml:space="preserve">Pass Rate % = </t>
  </si>
  <si>
    <t>Row Labels</t>
  </si>
  <si>
    <t>Grand Total</t>
  </si>
  <si>
    <t>Count of Overall_Result</t>
  </si>
  <si>
    <t>Count of Equipment</t>
  </si>
  <si>
    <t>Pass vs Fail</t>
  </si>
  <si>
    <t>Failures by Equipment</t>
  </si>
  <si>
    <t xml:space="preserve"> Equipment</t>
  </si>
  <si>
    <t>Issues by Category</t>
  </si>
  <si>
    <t>Count of Issue</t>
  </si>
  <si>
    <t>Tests Over Time</t>
  </si>
  <si>
    <t>Jan</t>
  </si>
  <si>
    <t>Feb</t>
  </si>
  <si>
    <t>Mar</t>
  </si>
  <si>
    <t>Apr</t>
  </si>
  <si>
    <t>May</t>
  </si>
  <si>
    <t>Jun</t>
  </si>
  <si>
    <t>Jul</t>
  </si>
  <si>
    <t>Count of 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</si>
</sst>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9" fillId="34" borderId="0" xfId="0" applyFont="1" applyFill="1" applyAlignment="1">
      <alignment vertical="center"/>
    </xf>
    <xf numFmtId="0" fontId="16" fillId="35" borderId="0" xfId="0" applyFont="1" applyFill="1"/>
    <xf numFmtId="9" fontId="0" fillId="0" borderId="0" xfId="1" applyFont="1"/>
    <xf numFmtId="9" fontId="16" fillId="35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0" fillId="36" borderId="0" xfId="0" applyFont="1" applyFill="1"/>
    <xf numFmtId="0" fontId="0" fillId="36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00B050"/>
                </a:solidFill>
              </a:rPr>
              <a:t>Pass vs Fail</a:t>
            </a:r>
            <a:endParaRPr lang="en-US" sz="1600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KPIs!$B$13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AF-4819-A2CB-BA5C566D38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AF-4819-A2CB-BA5C566D38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KPIs!$A$14:$A$16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KPIs!$B$14:$B$16</c:f>
              <c:numCache>
                <c:formatCode>General</c:formatCode>
                <c:ptCount val="2"/>
                <c:pt idx="0">
                  <c:v>121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AF-4819-A2CB-BA5C566D38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B050"/>
                </a:solidFill>
              </a:rPr>
              <a:t>Failures by Equipment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KPIs!$A$24:$A$29</c:f>
              <c:strCache>
                <c:ptCount val="5"/>
                <c:pt idx="0">
                  <c:v>Server</c:v>
                </c:pt>
                <c:pt idx="1">
                  <c:v>Switch</c:v>
                </c:pt>
                <c:pt idx="2">
                  <c:v>Mobile_Device</c:v>
                </c:pt>
                <c:pt idx="3">
                  <c:v>IoT_Device</c:v>
                </c:pt>
                <c:pt idx="4">
                  <c:v>Router</c:v>
                </c:pt>
              </c:strCache>
            </c:strRef>
          </c:cat>
          <c:val>
            <c:numRef>
              <c:f>KPIs!$B$24:$B$29</c:f>
              <c:numCache>
                <c:formatCode>General</c:formatCode>
                <c:ptCount val="5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9-4F93-910A-040CFFEB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080464"/>
        <c:axId val="2051077584"/>
      </c:barChart>
      <c:catAx>
        <c:axId val="205108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7584"/>
        <c:crosses val="autoZero"/>
        <c:auto val="1"/>
        <c:lblAlgn val="ctr"/>
        <c:lblOffset val="100"/>
        <c:noMultiLvlLbl val="0"/>
      </c:catAx>
      <c:valAx>
        <c:axId val="205107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8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Issues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KPIs!$A$36:$A$42</c:f>
              <c:strCache>
                <c:ptCount val="6"/>
                <c:pt idx="0">
                  <c:v>None</c:v>
                </c:pt>
                <c:pt idx="1">
                  <c:v>WiFi Failure</c:v>
                </c:pt>
                <c:pt idx="2">
                  <c:v>Power Failure</c:v>
                </c:pt>
                <c:pt idx="3">
                  <c:v>Linux Error</c:v>
                </c:pt>
                <c:pt idx="4">
                  <c:v>Script Error</c:v>
                </c:pt>
                <c:pt idx="5">
                  <c:v>Camera Failure</c:v>
                </c:pt>
              </c:strCache>
            </c:strRef>
          </c:cat>
          <c:val>
            <c:numRef>
              <c:f>KPIs!$B$36:$B$42</c:f>
              <c:numCache>
                <c:formatCode>General</c:formatCode>
                <c:ptCount val="6"/>
                <c:pt idx="0">
                  <c:v>79</c:v>
                </c:pt>
                <c:pt idx="1">
                  <c:v>32</c:v>
                </c:pt>
                <c:pt idx="2">
                  <c:v>27</c:v>
                </c:pt>
                <c:pt idx="3">
                  <c:v>26</c:v>
                </c:pt>
                <c:pt idx="4">
                  <c:v>21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8-4BF5-9932-64E20FE37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075184"/>
        <c:axId val="2051079984"/>
      </c:barChart>
      <c:catAx>
        <c:axId val="20510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9984"/>
        <c:crosses val="autoZero"/>
        <c:auto val="1"/>
        <c:lblAlgn val="ctr"/>
        <c:lblOffset val="100"/>
        <c:noMultiLvlLbl val="0"/>
      </c:catAx>
      <c:valAx>
        <c:axId val="20510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Tests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KPIs!$A$52:$A$59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KPIs!$B$52:$B$59</c:f>
              <c:numCache>
                <c:formatCode>General</c:formatCode>
                <c:ptCount val="7"/>
                <c:pt idx="0">
                  <c:v>30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B-49E2-A022-6271E7FC2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65024"/>
        <c:axId val="186170304"/>
      </c:barChart>
      <c:catAx>
        <c:axId val="1861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0304"/>
        <c:crosses val="autoZero"/>
        <c:auto val="1"/>
        <c:lblAlgn val="ctr"/>
        <c:lblOffset val="100"/>
        <c:noMultiLvlLbl val="0"/>
      </c:catAx>
      <c:valAx>
        <c:axId val="18617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Pass vs Fail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KPIs!$B$13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KPIs!$A$14:$A$16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KPIs!$B$14:$B$16</c:f>
              <c:numCache>
                <c:formatCode>General</c:formatCode>
                <c:ptCount val="2"/>
                <c:pt idx="0">
                  <c:v>121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9-4A75-BD88-19FEF2D88F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Failures by Equipment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KPIs!$A$24:$A$29</c:f>
              <c:strCache>
                <c:ptCount val="5"/>
                <c:pt idx="0">
                  <c:v>Server</c:v>
                </c:pt>
                <c:pt idx="1">
                  <c:v>Switch</c:v>
                </c:pt>
                <c:pt idx="2">
                  <c:v>Mobile_Device</c:v>
                </c:pt>
                <c:pt idx="3">
                  <c:v>IoT_Device</c:v>
                </c:pt>
                <c:pt idx="4">
                  <c:v>Router</c:v>
                </c:pt>
              </c:strCache>
            </c:strRef>
          </c:cat>
          <c:val>
            <c:numRef>
              <c:f>KPIs!$B$24:$B$29</c:f>
              <c:numCache>
                <c:formatCode>General</c:formatCode>
                <c:ptCount val="5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26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D-459D-B701-3CF9BB32B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080464"/>
        <c:axId val="2051077584"/>
      </c:barChart>
      <c:catAx>
        <c:axId val="2051080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7584"/>
        <c:crosses val="autoZero"/>
        <c:auto val="1"/>
        <c:lblAlgn val="ctr"/>
        <c:lblOffset val="100"/>
        <c:noMultiLvlLbl val="0"/>
      </c:catAx>
      <c:valAx>
        <c:axId val="205107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8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KPIs!$A$36:$A$42</c:f>
              <c:strCache>
                <c:ptCount val="6"/>
                <c:pt idx="0">
                  <c:v>None</c:v>
                </c:pt>
                <c:pt idx="1">
                  <c:v>WiFi Failure</c:v>
                </c:pt>
                <c:pt idx="2">
                  <c:v>Power Failure</c:v>
                </c:pt>
                <c:pt idx="3">
                  <c:v>Linux Error</c:v>
                </c:pt>
                <c:pt idx="4">
                  <c:v>Script Error</c:v>
                </c:pt>
                <c:pt idx="5">
                  <c:v>Camera Failure</c:v>
                </c:pt>
              </c:strCache>
            </c:strRef>
          </c:cat>
          <c:val>
            <c:numRef>
              <c:f>KPIs!$B$36:$B$42</c:f>
              <c:numCache>
                <c:formatCode>General</c:formatCode>
                <c:ptCount val="6"/>
                <c:pt idx="0">
                  <c:v>79</c:v>
                </c:pt>
                <c:pt idx="1">
                  <c:v>32</c:v>
                </c:pt>
                <c:pt idx="2">
                  <c:v>27</c:v>
                </c:pt>
                <c:pt idx="3">
                  <c:v>26</c:v>
                </c:pt>
                <c:pt idx="4">
                  <c:v>21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6-4DDA-9846-9A34A604D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075184"/>
        <c:axId val="2051079984"/>
      </c:barChart>
      <c:catAx>
        <c:axId val="205107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9984"/>
        <c:crosses val="autoZero"/>
        <c:auto val="1"/>
        <c:lblAlgn val="ctr"/>
        <c:lblOffset val="100"/>
        <c:noMultiLvlLbl val="0"/>
      </c:catAx>
      <c:valAx>
        <c:axId val="20510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07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[Excel.xlsx]KPIs!PivotTable4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KPIs!$A$52:$A$59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KPIs!$B$52:$B$59</c:f>
              <c:numCache>
                <c:formatCode>General</c:formatCode>
                <c:ptCount val="7"/>
                <c:pt idx="0">
                  <c:v>30</c:v>
                </c:pt>
                <c:pt idx="1">
                  <c:v>28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E-4654-BF0A-3710B328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65024"/>
        <c:axId val="186170304"/>
      </c:barChart>
      <c:catAx>
        <c:axId val="1861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70304"/>
        <c:crosses val="autoZero"/>
        <c:auto val="1"/>
        <c:lblAlgn val="ctr"/>
        <c:lblOffset val="100"/>
        <c:noMultiLvlLbl val="0"/>
      </c:catAx>
      <c:valAx>
        <c:axId val="18617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7620</xdr:rowOff>
    </xdr:from>
    <xdr:to>
      <xdr:col>13</xdr:col>
      <xdr:colOff>579120</xdr:colOff>
      <xdr:row>3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4ADA59-D093-4EFE-F152-21C90E238AC0}"/>
            </a:ext>
          </a:extLst>
        </xdr:cNvPr>
        <xdr:cNvSpPr/>
      </xdr:nvSpPr>
      <xdr:spPr>
        <a:xfrm>
          <a:off x="83820" y="7620"/>
          <a:ext cx="8420100" cy="6629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10</xdr:row>
      <xdr:rowOff>7620</xdr:rowOff>
    </xdr:from>
    <xdr:to>
      <xdr:col>7</xdr:col>
      <xdr:colOff>30480</xdr:colOff>
      <xdr:row>19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E9CF3BE-B6B8-4B6B-AFAE-A0FA8722F2B8}"/>
            </a:ext>
          </a:extLst>
        </xdr:cNvPr>
        <xdr:cNvSpPr/>
      </xdr:nvSpPr>
      <xdr:spPr>
        <a:xfrm>
          <a:off x="114300" y="1836420"/>
          <a:ext cx="4183380" cy="1783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91440</xdr:colOff>
      <xdr:row>10</xdr:row>
      <xdr:rowOff>0</xdr:rowOff>
    </xdr:from>
    <xdr:to>
      <xdr:col>13</xdr:col>
      <xdr:colOff>594360</xdr:colOff>
      <xdr:row>19</xdr:row>
      <xdr:rowOff>137160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33DE16-80BE-476A-95E7-2C2AC53713E2}"/>
            </a:ext>
          </a:extLst>
        </xdr:cNvPr>
        <xdr:cNvSpPr/>
      </xdr:nvSpPr>
      <xdr:spPr>
        <a:xfrm>
          <a:off x="4358640" y="1828800"/>
          <a:ext cx="4160520" cy="17830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106680</xdr:colOff>
      <xdr:row>20</xdr:row>
      <xdr:rowOff>45720</xdr:rowOff>
    </xdr:from>
    <xdr:to>
      <xdr:col>7</xdr:col>
      <xdr:colOff>45720</xdr:colOff>
      <xdr:row>30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D82FBB-9A33-42D5-8D41-85F65051E50F}"/>
            </a:ext>
          </a:extLst>
        </xdr:cNvPr>
        <xdr:cNvSpPr/>
      </xdr:nvSpPr>
      <xdr:spPr>
        <a:xfrm>
          <a:off x="106680" y="3703320"/>
          <a:ext cx="4206240" cy="1859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137160</xdr:colOff>
      <xdr:row>20</xdr:row>
      <xdr:rowOff>38100</xdr:rowOff>
    </xdr:from>
    <xdr:to>
      <xdr:col>14</xdr:col>
      <xdr:colOff>7620</xdr:colOff>
      <xdr:row>30</xdr:row>
      <xdr:rowOff>83820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25CE0C6-7C4C-4E11-BCAD-4ABF8D806D33}"/>
            </a:ext>
          </a:extLst>
        </xdr:cNvPr>
        <xdr:cNvSpPr/>
      </xdr:nvSpPr>
      <xdr:spPr>
        <a:xfrm>
          <a:off x="4404360" y="3695700"/>
          <a:ext cx="4137660" cy="1874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137160</xdr:colOff>
      <xdr:row>0</xdr:row>
      <xdr:rowOff>45720</xdr:rowOff>
    </xdr:from>
    <xdr:to>
      <xdr:col>13</xdr:col>
      <xdr:colOff>480060</xdr:colOff>
      <xdr:row>3</xdr:row>
      <xdr:rowOff>68580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8ACA02A-1DDE-55C6-BFB8-0F19DDB7BD6A}"/>
            </a:ext>
          </a:extLst>
        </xdr:cNvPr>
        <xdr:cNvSpPr txBox="1"/>
      </xdr:nvSpPr>
      <xdr:spPr>
        <a:xfrm>
          <a:off x="137160" y="45720"/>
          <a:ext cx="9060180" cy="54864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/>
            <a:t>Hardware Test Validation &amp; Automation System Analysis</a:t>
          </a:r>
        </a:p>
      </xdr:txBody>
    </xdr:sp>
    <xdr:clientData/>
  </xdr:twoCellAnchor>
  <xdr:twoCellAnchor>
    <xdr:from>
      <xdr:col>0</xdr:col>
      <xdr:colOff>114300</xdr:colOff>
      <xdr:row>3</xdr:row>
      <xdr:rowOff>167640</xdr:rowOff>
    </xdr:from>
    <xdr:to>
      <xdr:col>3</xdr:col>
      <xdr:colOff>335280</xdr:colOff>
      <xdr:row>9</xdr:row>
      <xdr:rowOff>76200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8DECCFD-FC94-A4CA-D9B1-A8097991D08D}"/>
            </a:ext>
          </a:extLst>
        </xdr:cNvPr>
        <xdr:cNvGrpSpPr/>
      </xdr:nvGrpSpPr>
      <xdr:grpSpPr>
        <a:xfrm>
          <a:off x="114300" y="716280"/>
          <a:ext cx="2049780" cy="1005840"/>
          <a:chOff x="632460" y="769620"/>
          <a:chExt cx="1874520" cy="100584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CA030DA-FABC-4DE9-977F-5359AEC8F6FC}"/>
              </a:ext>
            </a:extLst>
          </xdr:cNvPr>
          <xdr:cNvSpPr/>
        </xdr:nvSpPr>
        <xdr:spPr>
          <a:xfrm>
            <a:off x="632460" y="769620"/>
            <a:ext cx="1874520" cy="100584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95194D96-BD86-4940-A8A9-85DEF7EB325E}"/>
              </a:ext>
            </a:extLst>
          </xdr:cNvPr>
          <xdr:cNvSpPr txBox="1"/>
        </xdr:nvSpPr>
        <xdr:spPr>
          <a:xfrm>
            <a:off x="670560" y="822960"/>
            <a:ext cx="1790700" cy="28194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rgbClr val="00B050"/>
                </a:solidFill>
              </a:rPr>
              <a:t>Total Tests</a:t>
            </a:r>
          </a:p>
        </xdr:txBody>
      </xdr:sp>
      <xdr:sp macro="" textlink="KPIs!B3">
        <xdr:nvSpPr>
          <xdr:cNvPr id="12" name="TextBox 11">
            <a:extLst>
              <a:ext uri="{FF2B5EF4-FFF2-40B4-BE49-F238E27FC236}">
                <a16:creationId xmlns:a16="http://schemas.microsoft.com/office/drawing/2014/main" id="{091E039B-9C31-4AA6-AD7A-6B20529B16D5}"/>
              </a:ext>
            </a:extLst>
          </xdr:cNvPr>
          <xdr:cNvSpPr txBox="1"/>
        </xdr:nvSpPr>
        <xdr:spPr>
          <a:xfrm>
            <a:off x="685800" y="1181100"/>
            <a:ext cx="1752600" cy="5486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D8340E7-257B-41EF-BA8F-46DF0E761193}" type="TxLink">
              <a:rPr lang="en-US" sz="2400" b="1" i="0" u="none" strike="noStrike">
                <a:solidFill>
                  <a:schemeClr val="accent6"/>
                </a:solidFill>
                <a:latin typeface="Aptos Narrow"/>
              </a:rPr>
              <a:pPr algn="ctr"/>
              <a:t>200</a:t>
            </a:fld>
            <a:endParaRPr lang="en-US" sz="2400" b="1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7</xdr:col>
      <xdr:colOff>121920</xdr:colOff>
      <xdr:row>3</xdr:row>
      <xdr:rowOff>175260</xdr:rowOff>
    </xdr:from>
    <xdr:to>
      <xdr:col>10</xdr:col>
      <xdr:colOff>388620</xdr:colOff>
      <xdr:row>9</xdr:row>
      <xdr:rowOff>76200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2E4E23A-3187-4D88-9E0C-E82CA9749E30}"/>
            </a:ext>
          </a:extLst>
        </xdr:cNvPr>
        <xdr:cNvGrpSpPr/>
      </xdr:nvGrpSpPr>
      <xdr:grpSpPr>
        <a:xfrm>
          <a:off x="4389120" y="723900"/>
          <a:ext cx="2095500" cy="998220"/>
          <a:chOff x="632460" y="769620"/>
          <a:chExt cx="1874520" cy="1005840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CE7F6E23-3059-AED8-CB4D-31042533D92D}"/>
              </a:ext>
            </a:extLst>
          </xdr:cNvPr>
          <xdr:cNvSpPr/>
        </xdr:nvSpPr>
        <xdr:spPr>
          <a:xfrm>
            <a:off x="632460" y="769620"/>
            <a:ext cx="1874520" cy="100584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8815A5E5-8464-09BE-EF34-5D4054ACD906}"/>
              </a:ext>
            </a:extLst>
          </xdr:cNvPr>
          <xdr:cNvSpPr txBox="1"/>
        </xdr:nvSpPr>
        <xdr:spPr>
          <a:xfrm>
            <a:off x="670560" y="822960"/>
            <a:ext cx="1790700" cy="28194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en-US" sz="1600" b="1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rPr>
              <a:t>Failed Tests</a:t>
            </a:r>
          </a:p>
        </xdr:txBody>
      </xdr:sp>
      <xdr:sp macro="" textlink="KPIs!B7">
        <xdr:nvSpPr>
          <xdr:cNvPr id="21" name="TextBox 20">
            <a:extLst>
              <a:ext uri="{FF2B5EF4-FFF2-40B4-BE49-F238E27FC236}">
                <a16:creationId xmlns:a16="http://schemas.microsoft.com/office/drawing/2014/main" id="{4741CBC8-A019-E305-7F2E-E8831CF0D359}"/>
              </a:ext>
            </a:extLst>
          </xdr:cNvPr>
          <xdr:cNvSpPr txBox="1"/>
        </xdr:nvSpPr>
        <xdr:spPr>
          <a:xfrm>
            <a:off x="685800" y="1181100"/>
            <a:ext cx="1752600" cy="5486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4636B2C-CD74-4A22-AB9C-CA7B2F6C76BB}" type="TxLink">
              <a:rPr lang="en-US" sz="2000" b="1" i="0" u="none" strike="noStrike">
                <a:solidFill>
                  <a:schemeClr val="accent6"/>
                </a:solidFill>
                <a:latin typeface="Aptos Narrow"/>
              </a:rPr>
              <a:pPr algn="ctr"/>
              <a:t>121</a:t>
            </a:fld>
            <a:endParaRPr lang="en-US" sz="200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10</xdr:col>
      <xdr:colOff>426720</xdr:colOff>
      <xdr:row>3</xdr:row>
      <xdr:rowOff>175260</xdr:rowOff>
    </xdr:from>
    <xdr:to>
      <xdr:col>13</xdr:col>
      <xdr:colOff>571500</xdr:colOff>
      <xdr:row>9</xdr:row>
      <xdr:rowOff>83820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6FCAAB7-8E48-4F81-9C26-76DBE6B2C35C}"/>
            </a:ext>
          </a:extLst>
        </xdr:cNvPr>
        <xdr:cNvGrpSpPr/>
      </xdr:nvGrpSpPr>
      <xdr:grpSpPr>
        <a:xfrm>
          <a:off x="6522720" y="723900"/>
          <a:ext cx="1973580" cy="1005840"/>
          <a:chOff x="632460" y="769620"/>
          <a:chExt cx="1874520" cy="10058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B9950711-EC05-1331-6C8C-9758C62C745B}"/>
              </a:ext>
            </a:extLst>
          </xdr:cNvPr>
          <xdr:cNvSpPr/>
        </xdr:nvSpPr>
        <xdr:spPr>
          <a:xfrm>
            <a:off x="632460" y="769620"/>
            <a:ext cx="1874520" cy="100584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AB09B2D-B17E-CE10-3925-F1876B543FBB}"/>
              </a:ext>
            </a:extLst>
          </xdr:cNvPr>
          <xdr:cNvSpPr txBox="1"/>
        </xdr:nvSpPr>
        <xdr:spPr>
          <a:xfrm>
            <a:off x="670560" y="822960"/>
            <a:ext cx="1790700" cy="28194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 i="0" u="none" strike="noStrike">
                <a:solidFill>
                  <a:srgbClr val="00B050"/>
                </a:solidFill>
                <a:latin typeface="Aptos Narrow"/>
                <a:ea typeface="+mn-ea"/>
                <a:cs typeface="+mn-cs"/>
              </a:rPr>
              <a:t>Pass Rate </a:t>
            </a:r>
            <a:r>
              <a:rPr lang="en-US" sz="1600">
                <a:solidFill>
                  <a:srgbClr val="00B050"/>
                </a:solidFill>
              </a:rPr>
              <a:t>%</a:t>
            </a:r>
          </a:p>
        </xdr:txBody>
      </xdr:sp>
      <xdr:sp macro="" textlink="KPIs!B9">
        <xdr:nvSpPr>
          <xdr:cNvPr id="25" name="TextBox 24">
            <a:extLst>
              <a:ext uri="{FF2B5EF4-FFF2-40B4-BE49-F238E27FC236}">
                <a16:creationId xmlns:a16="http://schemas.microsoft.com/office/drawing/2014/main" id="{71DC9F1B-764A-5FF3-5719-CFBD863D9FAB}"/>
              </a:ext>
            </a:extLst>
          </xdr:cNvPr>
          <xdr:cNvSpPr txBox="1"/>
        </xdr:nvSpPr>
        <xdr:spPr>
          <a:xfrm>
            <a:off x="685800" y="1181100"/>
            <a:ext cx="1752600" cy="5486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F59D0FC-DBC1-4E22-AEF0-DBF2C99B4ADD}" type="TxLink">
              <a:rPr lang="en-US" sz="2000" b="1" i="0" u="none" strike="noStrike">
                <a:solidFill>
                  <a:schemeClr val="accent6"/>
                </a:solidFill>
                <a:latin typeface="Aptos Narrow"/>
              </a:rPr>
              <a:pPr algn="ctr"/>
              <a:t>40%</a:t>
            </a:fld>
            <a:endParaRPr lang="en-US" sz="200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0</xdr:col>
      <xdr:colOff>160020</xdr:colOff>
      <xdr:row>10</xdr:row>
      <xdr:rowOff>38100</xdr:rowOff>
    </xdr:from>
    <xdr:to>
      <xdr:col>7</xdr:col>
      <xdr:colOff>0</xdr:colOff>
      <xdr:row>19</xdr:row>
      <xdr:rowOff>106679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2DCC0E-8DF9-4C77-84C5-6E459928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114300</xdr:colOff>
      <xdr:row>10</xdr:row>
      <xdr:rowOff>38099</xdr:rowOff>
    </xdr:from>
    <xdr:to>
      <xdr:col>13</xdr:col>
      <xdr:colOff>571500</xdr:colOff>
      <xdr:row>19</xdr:row>
      <xdr:rowOff>99060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DA6D920-4747-4E99-A691-EB5AF910C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151048</xdr:colOff>
      <xdr:row>20</xdr:row>
      <xdr:rowOff>73038</xdr:rowOff>
    </xdr:from>
    <xdr:to>
      <xdr:col>6</xdr:col>
      <xdr:colOff>601980</xdr:colOff>
      <xdr:row>30</xdr:row>
      <xdr:rowOff>45720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100108B-E78E-4E46-B36C-D7A91E4E9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175260</xdr:colOff>
      <xdr:row>20</xdr:row>
      <xdr:rowOff>60960</xdr:rowOff>
    </xdr:from>
    <xdr:to>
      <xdr:col>13</xdr:col>
      <xdr:colOff>579120</xdr:colOff>
      <xdr:row>30</xdr:row>
      <xdr:rowOff>45720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68077B9-E676-431F-9E3B-489B39CDE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388620</xdr:colOff>
      <xdr:row>3</xdr:row>
      <xdr:rowOff>160020</xdr:rowOff>
    </xdr:from>
    <xdr:to>
      <xdr:col>7</xdr:col>
      <xdr:colOff>76200</xdr:colOff>
      <xdr:row>9</xdr:row>
      <xdr:rowOff>91440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E8DD0235-B482-4F33-843C-1814375E04A5}"/>
            </a:ext>
          </a:extLst>
        </xdr:cNvPr>
        <xdr:cNvGrpSpPr/>
      </xdr:nvGrpSpPr>
      <xdr:grpSpPr>
        <a:xfrm>
          <a:off x="2217420" y="708660"/>
          <a:ext cx="2125980" cy="1028700"/>
          <a:chOff x="632460" y="769620"/>
          <a:chExt cx="1874520" cy="1005840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19860EA7-1966-606D-FFDC-8EC2753791B6}"/>
              </a:ext>
            </a:extLst>
          </xdr:cNvPr>
          <xdr:cNvSpPr/>
        </xdr:nvSpPr>
        <xdr:spPr>
          <a:xfrm>
            <a:off x="632460" y="769620"/>
            <a:ext cx="1874520" cy="100584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1DA4141F-9C6A-DF82-EDCE-DAAF48335A06}"/>
              </a:ext>
            </a:extLst>
          </xdr:cNvPr>
          <xdr:cNvSpPr txBox="1"/>
        </xdr:nvSpPr>
        <xdr:spPr>
          <a:xfrm>
            <a:off x="670560" y="822960"/>
            <a:ext cx="1790700" cy="281940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rgbClr val="00B050"/>
                </a:solidFill>
              </a:rPr>
              <a:t>Passed Tests</a:t>
            </a:r>
          </a:p>
        </xdr:txBody>
      </xdr:sp>
      <xdr:sp macro="" textlink="KPIs!B5">
        <xdr:nvSpPr>
          <xdr:cNvPr id="33" name="TextBox 32">
            <a:extLst>
              <a:ext uri="{FF2B5EF4-FFF2-40B4-BE49-F238E27FC236}">
                <a16:creationId xmlns:a16="http://schemas.microsoft.com/office/drawing/2014/main" id="{6E16B83B-9421-6BA0-FCBA-99C0F34055B2}"/>
              </a:ext>
            </a:extLst>
          </xdr:cNvPr>
          <xdr:cNvSpPr txBox="1"/>
        </xdr:nvSpPr>
        <xdr:spPr>
          <a:xfrm>
            <a:off x="685800" y="1181100"/>
            <a:ext cx="1752600" cy="548640"/>
          </a:xfrm>
          <a:prstGeom prst="rect">
            <a:avLst/>
          </a:prstGeom>
          <a:solidFill>
            <a:schemeClr val="accent6">
              <a:lumMod val="40000"/>
              <a:lumOff val="6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F63D2DF-A308-44D3-B705-66CA15CDED1A}" type="TxLink">
              <a:rPr lang="en-US" sz="2000" b="1" i="0" u="none" strike="noStrike">
                <a:solidFill>
                  <a:schemeClr val="accent6"/>
                </a:solidFill>
                <a:latin typeface="Aptos Narrow"/>
              </a:rPr>
              <a:t>79</a:t>
            </a:fld>
            <a:endParaRPr lang="en-US" sz="4400" b="1">
              <a:solidFill>
                <a:schemeClr val="accent6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9</xdr:row>
      <xdr:rowOff>137160</xdr:rowOff>
    </xdr:from>
    <xdr:to>
      <xdr:col>7</xdr:col>
      <xdr:colOff>304800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8BC59-7DC9-2AA7-BF4D-73C418B59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297180</xdr:colOff>
      <xdr:row>20</xdr:row>
      <xdr:rowOff>30480</xdr:rowOff>
    </xdr:from>
    <xdr:to>
      <xdr:col>7</xdr:col>
      <xdr:colOff>594360</xdr:colOff>
      <xdr:row>30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60865-3E9E-BEF5-5D1A-53DB3E2FA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487680</xdr:colOff>
      <xdr:row>32</xdr:row>
      <xdr:rowOff>91440</xdr:rowOff>
    </xdr:from>
    <xdr:to>
      <xdr:col>8</xdr:col>
      <xdr:colOff>556260</xdr:colOff>
      <xdr:row>45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BF140-D06B-6B54-9D12-61F69F5E9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548640</xdr:colOff>
      <xdr:row>47</xdr:row>
      <xdr:rowOff>106680</xdr:rowOff>
    </xdr:from>
    <xdr:to>
      <xdr:col>8</xdr:col>
      <xdr:colOff>403860</xdr:colOff>
      <xdr:row>60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54C586-9802-DE9B-B8C1-EE7D349CE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88.994958101852" createdVersion="8" refreshedVersion="8" minRefreshableVersion="3" recordCount="200" xr:uid="{C6265F89-539D-4F19-9BB7-F2C7BB9EDD14}">
  <cacheSource type="worksheet">
    <worksheetSource name="Test"/>
  </cacheSource>
  <cacheFields count="14">
    <cacheField name="Test_ID" numFmtId="0">
      <sharedItems count="200">
        <s v="T001"/>
        <s v="T002"/>
        <s v="T003"/>
        <s v="T004"/>
        <s v="T005"/>
        <s v="T006"/>
        <s v="T007"/>
        <s v="T008"/>
        <s v="T009"/>
        <s v="T010"/>
        <s v="T011"/>
        <s v="T012"/>
        <s v="T013"/>
        <s v="T014"/>
        <s v="T015"/>
        <s v="T016"/>
        <s v="T017"/>
        <s v="T018"/>
        <s v="T019"/>
        <s v="T020"/>
        <s v="T021"/>
        <s v="T022"/>
        <s v="T023"/>
        <s v="T024"/>
        <s v="T025"/>
        <s v="T026"/>
        <s v="T027"/>
        <s v="T028"/>
        <s v="T029"/>
        <s v="T030"/>
        <s v="T031"/>
        <s v="T032"/>
        <s v="T033"/>
        <s v="T034"/>
        <s v="T035"/>
        <s v="T036"/>
        <s v="T037"/>
        <s v="T038"/>
        <s v="T039"/>
        <s v="T040"/>
        <s v="T041"/>
        <s v="T042"/>
        <s v="T043"/>
        <s v="T044"/>
        <s v="T045"/>
        <s v="T046"/>
        <s v="T047"/>
        <s v="T048"/>
        <s v="T049"/>
        <s v="T050"/>
        <s v="T051"/>
        <s v="T052"/>
        <s v="T053"/>
        <s v="T054"/>
        <s v="T055"/>
        <s v="T056"/>
        <s v="T057"/>
        <s v="T058"/>
        <s v="T059"/>
        <s v="T060"/>
        <s v="T061"/>
        <s v="T062"/>
        <s v="T063"/>
        <s v="T064"/>
        <s v="T065"/>
        <s v="T066"/>
        <s v="T067"/>
        <s v="T068"/>
        <s v="T069"/>
        <s v="T070"/>
        <s v="T071"/>
        <s v="T072"/>
        <s v="T073"/>
        <s v="T074"/>
        <s v="T075"/>
        <s v="T076"/>
        <s v="T077"/>
        <s v="T078"/>
        <s v="T079"/>
        <s v="T080"/>
        <s v="T081"/>
        <s v="T082"/>
        <s v="T083"/>
        <s v="T084"/>
        <s v="T085"/>
        <s v="T086"/>
        <s v="T087"/>
        <s v="T088"/>
        <s v="T089"/>
        <s v="T090"/>
        <s v="T091"/>
        <s v="T092"/>
        <s v="T093"/>
        <s v="T094"/>
        <s v="T095"/>
        <s v="T096"/>
        <s v="T097"/>
        <s v="T098"/>
        <s v="T099"/>
        <s v="T100"/>
        <s v="T101"/>
        <s v="T102"/>
        <s v="T103"/>
        <s v="T104"/>
        <s v="T105"/>
        <s v="T106"/>
        <s v="T107"/>
        <s v="T108"/>
        <s v="T109"/>
        <s v="T110"/>
        <s v="T111"/>
        <s v="T112"/>
        <s v="T113"/>
        <s v="T114"/>
        <s v="T115"/>
        <s v="T116"/>
        <s v="T117"/>
        <s v="T118"/>
        <s v="T119"/>
        <s v="T120"/>
        <s v="T121"/>
        <s v="T122"/>
        <s v="T123"/>
        <s v="T124"/>
        <s v="T125"/>
        <s v="T126"/>
        <s v="T127"/>
        <s v="T128"/>
        <s v="T129"/>
        <s v="T130"/>
        <s v="T131"/>
        <s v="T132"/>
        <s v="T133"/>
        <s v="T134"/>
        <s v="T135"/>
        <s v="T136"/>
        <s v="T137"/>
        <s v="T138"/>
        <s v="T139"/>
        <s v="T140"/>
        <s v="T141"/>
        <s v="T142"/>
        <s v="T143"/>
        <s v="T144"/>
        <s v="T145"/>
        <s v="T146"/>
        <s v="T147"/>
        <s v="T148"/>
        <s v="T149"/>
        <s v="T150"/>
        <s v="T151"/>
        <s v="T152"/>
        <s v="T153"/>
        <s v="T154"/>
        <s v="T155"/>
        <s v="T156"/>
        <s v="T157"/>
        <s v="T158"/>
        <s v="T159"/>
        <s v="T160"/>
        <s v="T161"/>
        <s v="T162"/>
        <s v="T163"/>
        <s v="T164"/>
        <s v="T165"/>
        <s v="T166"/>
        <s v="T167"/>
        <s v="T168"/>
        <s v="T169"/>
        <s v="T170"/>
        <s v="T171"/>
        <s v="T172"/>
        <s v="T173"/>
        <s v="T174"/>
        <s v="T175"/>
        <s v="T176"/>
        <s v="T177"/>
        <s v="T178"/>
        <s v="T179"/>
        <s v="T180"/>
        <s v="T181"/>
        <s v="T182"/>
        <s v="T183"/>
        <s v="T184"/>
        <s v="T185"/>
        <s v="T186"/>
        <s v="T187"/>
        <s v="T188"/>
        <s v="T189"/>
        <s v="T190"/>
        <s v="T191"/>
        <s v="T192"/>
        <s v="T193"/>
        <s v="T194"/>
        <s v="T195"/>
        <s v="T196"/>
        <s v="T197"/>
        <s v="T198"/>
        <s v="T199"/>
        <s v="T200"/>
      </sharedItems>
    </cacheField>
    <cacheField name="Date" numFmtId="14">
      <sharedItems containsSemiMixedTypes="0" containsNonDate="0" containsDate="1" containsString="0" minDate="2026-01-02T00:00:00" maxDate="2026-07-21T00:00:00" count="200"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</sharedItems>
      <fieldGroup par="13"/>
    </cacheField>
    <cacheField name="Device_ID" numFmtId="0">
      <sharedItems count="200">
        <s v="D001"/>
        <s v="D002"/>
        <s v="D003"/>
        <s v="D004"/>
        <s v="D005"/>
        <s v="D006"/>
        <s v="D007"/>
        <s v="D008"/>
        <s v="D009"/>
        <s v="D010"/>
        <s v="D011"/>
        <s v="D012"/>
        <s v="D013"/>
        <s v="D014"/>
        <s v="D015"/>
        <s v="D016"/>
        <s v="D017"/>
        <s v="D018"/>
        <s v="D019"/>
        <s v="D020"/>
        <s v="D021"/>
        <s v="D022"/>
        <s v="D023"/>
        <s v="D024"/>
        <s v="D025"/>
        <s v="D026"/>
        <s v="D027"/>
        <s v="D028"/>
        <s v="D029"/>
        <s v="D030"/>
        <s v="D031"/>
        <s v="D032"/>
        <s v="D033"/>
        <s v="D034"/>
        <s v="D035"/>
        <s v="D036"/>
        <s v="D037"/>
        <s v="D038"/>
        <s v="D039"/>
        <s v="D040"/>
        <s v="D041"/>
        <s v="D042"/>
        <s v="D043"/>
        <s v="D044"/>
        <s v="D045"/>
        <s v="D046"/>
        <s v="D047"/>
        <s v="D048"/>
        <s v="D049"/>
        <s v="D050"/>
        <s v="D051"/>
        <s v="D052"/>
        <s v="D053"/>
        <s v="D054"/>
        <s v="D055"/>
        <s v="D056"/>
        <s v="D057"/>
        <s v="D058"/>
        <s v="D059"/>
        <s v="D060"/>
        <s v="D061"/>
        <s v="D062"/>
        <s v="D063"/>
        <s v="D064"/>
        <s v="D065"/>
        <s v="D066"/>
        <s v="D067"/>
        <s v="D068"/>
        <s v="D069"/>
        <s v="D070"/>
        <s v="D071"/>
        <s v="D072"/>
        <s v="D073"/>
        <s v="D074"/>
        <s v="D075"/>
        <s v="D076"/>
        <s v="D077"/>
        <s v="D078"/>
        <s v="D079"/>
        <s v="D080"/>
        <s v="D081"/>
        <s v="D082"/>
        <s v="D083"/>
        <s v="D084"/>
        <s v="D085"/>
        <s v="D086"/>
        <s v="D087"/>
        <s v="D088"/>
        <s v="D089"/>
        <s v="D090"/>
        <s v="D091"/>
        <s v="D092"/>
        <s v="D093"/>
        <s v="D094"/>
        <s v="D095"/>
        <s v="D096"/>
        <s v="D097"/>
        <s v="D098"/>
        <s v="D099"/>
        <s v="D100"/>
        <s v="D101"/>
        <s v="D102"/>
        <s v="D103"/>
        <s v="D104"/>
        <s v="D105"/>
        <s v="D106"/>
        <s v="D107"/>
        <s v="D108"/>
        <s v="D109"/>
        <s v="D110"/>
        <s v="D111"/>
        <s v="D112"/>
        <s v="D113"/>
        <s v="D114"/>
        <s v="D115"/>
        <s v="D116"/>
        <s v="D117"/>
        <s v="D118"/>
        <s v="D119"/>
        <s v="D120"/>
        <s v="D121"/>
        <s v="D122"/>
        <s v="D123"/>
        <s v="D124"/>
        <s v="D125"/>
        <s v="D126"/>
        <s v="D127"/>
        <s v="D128"/>
        <s v="D129"/>
        <s v="D130"/>
        <s v="D131"/>
        <s v="D132"/>
        <s v="D133"/>
        <s v="D134"/>
        <s v="D135"/>
        <s v="D136"/>
        <s v="D137"/>
        <s v="D138"/>
        <s v="D139"/>
        <s v="D140"/>
        <s v="D141"/>
        <s v="D142"/>
        <s v="D143"/>
        <s v="D144"/>
        <s v="D145"/>
        <s v="D146"/>
        <s v="D147"/>
        <s v="D148"/>
        <s v="D149"/>
        <s v="D150"/>
        <s v="D151"/>
        <s v="D152"/>
        <s v="D153"/>
        <s v="D154"/>
        <s v="D155"/>
        <s v="D156"/>
        <s v="D157"/>
        <s v="D158"/>
        <s v="D159"/>
        <s v="D160"/>
        <s v="D161"/>
        <s v="D162"/>
        <s v="D163"/>
        <s v="D164"/>
        <s v="D165"/>
        <s v="D166"/>
        <s v="D167"/>
        <s v="D168"/>
        <s v="D169"/>
        <s v="D170"/>
        <s v="D171"/>
        <s v="D172"/>
        <s v="D173"/>
        <s v="D174"/>
        <s v="D175"/>
        <s v="D176"/>
        <s v="D177"/>
        <s v="D178"/>
        <s v="D179"/>
        <s v="D180"/>
        <s v="D181"/>
        <s v="D182"/>
        <s v="D183"/>
        <s v="D184"/>
        <s v="D185"/>
        <s v="D186"/>
        <s v="D187"/>
        <s v="D188"/>
        <s v="D189"/>
        <s v="D190"/>
        <s v="D191"/>
        <s v="D192"/>
        <s v="D193"/>
        <s v="D194"/>
        <s v="D195"/>
        <s v="D196"/>
        <s v="D197"/>
        <s v="D198"/>
        <s v="D199"/>
        <s v="D200"/>
      </sharedItems>
    </cacheField>
    <cacheField name="Equipment" numFmtId="0">
      <sharedItems count="5">
        <s v="Server"/>
        <s v="Router"/>
        <s v="Mobile_Device"/>
        <s v="Switch"/>
        <s v="IoT_Device"/>
      </sharedItems>
    </cacheField>
    <cacheField name="Power" numFmtId="0">
      <sharedItems/>
    </cacheField>
    <cacheField name="WiFi" numFmtId="0">
      <sharedItems/>
    </cacheField>
    <cacheField name="Camera" numFmtId="0">
      <sharedItems/>
    </cacheField>
    <cacheField name="Linux_Check" numFmtId="0">
      <sharedItems/>
    </cacheField>
    <cacheField name="Python_Script" numFmtId="0">
      <sharedItems/>
    </cacheField>
    <cacheField name="Reliability_Test" numFmtId="0">
      <sharedItems/>
    </cacheField>
    <cacheField name="Overall_Result" numFmtId="0">
      <sharedItems count="2">
        <s v="Pass"/>
        <s v="Fail"/>
      </sharedItems>
    </cacheField>
    <cacheField name="Issue" numFmtId="0">
      <sharedItems count="6">
        <s v="None"/>
        <s v="WiFi Failure"/>
        <s v="Script Error"/>
        <s v="Linux Error"/>
        <s v="Camera Failure"/>
        <s v="Power Failure"/>
      </sharedItems>
    </cacheField>
    <cacheField name="Days (Date)" numFmtId="0" databaseField="0">
      <fieldGroup base="1">
        <rangePr groupBy="days" startDate="2026-01-02T00:00:00" endDate="2026-07-21T00:00:00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21/2026"/>
        </groupItems>
      </fieldGroup>
    </cacheField>
    <cacheField name="Months (Date)" numFmtId="0" databaseField="0">
      <fieldGroup base="1">
        <rangePr groupBy="months" startDate="2026-01-02T00:00:00" endDate="2026-07-21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s v="Pass"/>
    <s v="Pass"/>
    <s v="Pass"/>
    <s v="Pass"/>
    <s v="Pass"/>
    <s v="Pass"/>
    <x v="0"/>
    <x v="0"/>
  </r>
  <r>
    <x v="1"/>
    <x v="1"/>
    <x v="1"/>
    <x v="0"/>
    <s v="Pass"/>
    <s v="Pass"/>
    <s v="Pass"/>
    <s v="Pass"/>
    <s v="Pass"/>
    <s v="Pass"/>
    <x v="0"/>
    <x v="0"/>
  </r>
  <r>
    <x v="2"/>
    <x v="2"/>
    <x v="2"/>
    <x v="1"/>
    <s v="Pass"/>
    <s v="Pass"/>
    <s v="Pass"/>
    <s v="Pass"/>
    <s v="Pass"/>
    <s v="Pass"/>
    <x v="0"/>
    <x v="0"/>
  </r>
  <r>
    <x v="3"/>
    <x v="3"/>
    <x v="3"/>
    <x v="0"/>
    <s v="Pass"/>
    <s v="Pass"/>
    <s v="Pass"/>
    <s v="Pass"/>
    <s v="Pass"/>
    <s v="Pass"/>
    <x v="0"/>
    <x v="0"/>
  </r>
  <r>
    <x v="4"/>
    <x v="4"/>
    <x v="4"/>
    <x v="2"/>
    <s v="Fail"/>
    <s v="Pass"/>
    <s v="Pass"/>
    <s v="Fail"/>
    <s v="Pass"/>
    <s v="Pass"/>
    <x v="1"/>
    <x v="1"/>
  </r>
  <r>
    <x v="5"/>
    <x v="5"/>
    <x v="5"/>
    <x v="1"/>
    <s v="Pass"/>
    <s v="Pass"/>
    <s v="Pass"/>
    <s v="Pass"/>
    <s v="Fail"/>
    <s v="Pass"/>
    <x v="1"/>
    <x v="2"/>
  </r>
  <r>
    <x v="6"/>
    <x v="6"/>
    <x v="6"/>
    <x v="3"/>
    <s v="Pass"/>
    <s v="Fail"/>
    <s v="Fail"/>
    <s v="Fail"/>
    <s v="Pass"/>
    <s v="Fail"/>
    <x v="1"/>
    <x v="3"/>
  </r>
  <r>
    <x v="7"/>
    <x v="7"/>
    <x v="7"/>
    <x v="3"/>
    <s v="Pass"/>
    <s v="Pass"/>
    <s v="Pass"/>
    <s v="Pass"/>
    <s v="Pass"/>
    <s v="Pass"/>
    <x v="0"/>
    <x v="0"/>
  </r>
  <r>
    <x v="8"/>
    <x v="8"/>
    <x v="8"/>
    <x v="0"/>
    <s v="Pass"/>
    <s v="Pass"/>
    <s v="Pass"/>
    <s v="Pass"/>
    <s v="Pass"/>
    <s v="Pass"/>
    <x v="0"/>
    <x v="0"/>
  </r>
  <r>
    <x v="9"/>
    <x v="9"/>
    <x v="9"/>
    <x v="2"/>
    <s v="Pass"/>
    <s v="Pass"/>
    <s v="Pass"/>
    <s v="Pass"/>
    <s v="Pass"/>
    <s v="Pass"/>
    <x v="0"/>
    <x v="0"/>
  </r>
  <r>
    <x v="10"/>
    <x v="10"/>
    <x v="10"/>
    <x v="4"/>
    <s v="Pass"/>
    <s v="Pass"/>
    <s v="Pass"/>
    <s v="Pass"/>
    <s v="Pass"/>
    <s v="Pass"/>
    <x v="0"/>
    <x v="0"/>
  </r>
  <r>
    <x v="11"/>
    <x v="11"/>
    <x v="11"/>
    <x v="4"/>
    <s v="Pass"/>
    <s v="Fail"/>
    <s v="Pass"/>
    <s v="Pass"/>
    <s v="Fail"/>
    <s v="Pass"/>
    <x v="1"/>
    <x v="3"/>
  </r>
  <r>
    <x v="12"/>
    <x v="12"/>
    <x v="12"/>
    <x v="1"/>
    <s v="Pass"/>
    <s v="Pass"/>
    <s v="Pass"/>
    <s v="Pass"/>
    <s v="Fail"/>
    <s v="Pass"/>
    <x v="1"/>
    <x v="2"/>
  </r>
  <r>
    <x v="13"/>
    <x v="13"/>
    <x v="13"/>
    <x v="4"/>
    <s v="Pass"/>
    <s v="Pass"/>
    <s v="Fail"/>
    <s v="Fail"/>
    <s v="Pass"/>
    <s v="Pass"/>
    <x v="1"/>
    <x v="4"/>
  </r>
  <r>
    <x v="14"/>
    <x v="14"/>
    <x v="14"/>
    <x v="1"/>
    <s v="Pass"/>
    <s v="Pass"/>
    <s v="Fail"/>
    <s v="Pass"/>
    <s v="Pass"/>
    <s v="Pass"/>
    <x v="1"/>
    <x v="4"/>
  </r>
  <r>
    <x v="15"/>
    <x v="15"/>
    <x v="15"/>
    <x v="0"/>
    <s v="Pass"/>
    <s v="Fail"/>
    <s v="Pass"/>
    <s v="Pass"/>
    <s v="Fail"/>
    <s v="Pass"/>
    <x v="1"/>
    <x v="4"/>
  </r>
  <r>
    <x v="16"/>
    <x v="16"/>
    <x v="16"/>
    <x v="1"/>
    <s v="Pass"/>
    <s v="Pass"/>
    <s v="Pass"/>
    <s v="Pass"/>
    <s v="Pass"/>
    <s v="Pass"/>
    <x v="0"/>
    <x v="0"/>
  </r>
  <r>
    <x v="17"/>
    <x v="17"/>
    <x v="17"/>
    <x v="4"/>
    <s v="Pass"/>
    <s v="Pass"/>
    <s v="Pass"/>
    <s v="Pass"/>
    <s v="Pass"/>
    <s v="Pass"/>
    <x v="0"/>
    <x v="0"/>
  </r>
  <r>
    <x v="18"/>
    <x v="18"/>
    <x v="18"/>
    <x v="4"/>
    <s v="Pass"/>
    <s v="Pass"/>
    <s v="Pass"/>
    <s v="Pass"/>
    <s v="Pass"/>
    <s v="Pass"/>
    <x v="0"/>
    <x v="0"/>
  </r>
  <r>
    <x v="19"/>
    <x v="19"/>
    <x v="19"/>
    <x v="0"/>
    <s v="Pass"/>
    <s v="Pass"/>
    <s v="Pass"/>
    <s v="Pass"/>
    <s v="Pass"/>
    <s v="Fail"/>
    <x v="1"/>
    <x v="3"/>
  </r>
  <r>
    <x v="20"/>
    <x v="20"/>
    <x v="20"/>
    <x v="4"/>
    <s v="Fail"/>
    <s v="Pass"/>
    <s v="Pass"/>
    <s v="Pass"/>
    <s v="Pass"/>
    <s v="Fail"/>
    <x v="1"/>
    <x v="4"/>
  </r>
  <r>
    <x v="21"/>
    <x v="21"/>
    <x v="21"/>
    <x v="2"/>
    <s v="Pass"/>
    <s v="Pass"/>
    <s v="Pass"/>
    <s v="Pass"/>
    <s v="Pass"/>
    <s v="Pass"/>
    <x v="0"/>
    <x v="0"/>
  </r>
  <r>
    <x v="22"/>
    <x v="22"/>
    <x v="22"/>
    <x v="3"/>
    <s v="Fail"/>
    <s v="Pass"/>
    <s v="Pass"/>
    <s v="Pass"/>
    <s v="Pass"/>
    <s v="Pass"/>
    <x v="1"/>
    <x v="2"/>
  </r>
  <r>
    <x v="23"/>
    <x v="23"/>
    <x v="23"/>
    <x v="2"/>
    <s v="Pass"/>
    <s v="Pass"/>
    <s v="Pass"/>
    <s v="Fail"/>
    <s v="Pass"/>
    <s v="Fail"/>
    <x v="1"/>
    <x v="2"/>
  </r>
  <r>
    <x v="24"/>
    <x v="24"/>
    <x v="24"/>
    <x v="4"/>
    <s v="Pass"/>
    <s v="Pass"/>
    <s v="Fail"/>
    <s v="Pass"/>
    <s v="Pass"/>
    <s v="Pass"/>
    <x v="1"/>
    <x v="5"/>
  </r>
  <r>
    <x v="25"/>
    <x v="25"/>
    <x v="25"/>
    <x v="1"/>
    <s v="Pass"/>
    <s v="Pass"/>
    <s v="Pass"/>
    <s v="Pass"/>
    <s v="Pass"/>
    <s v="Pass"/>
    <x v="0"/>
    <x v="0"/>
  </r>
  <r>
    <x v="26"/>
    <x v="26"/>
    <x v="26"/>
    <x v="3"/>
    <s v="Pass"/>
    <s v="Pass"/>
    <s v="Pass"/>
    <s v="Pass"/>
    <s v="Pass"/>
    <s v="Pass"/>
    <x v="0"/>
    <x v="0"/>
  </r>
  <r>
    <x v="27"/>
    <x v="27"/>
    <x v="27"/>
    <x v="2"/>
    <s v="Pass"/>
    <s v="Pass"/>
    <s v="Fail"/>
    <s v="Pass"/>
    <s v="Pass"/>
    <s v="Pass"/>
    <x v="1"/>
    <x v="3"/>
  </r>
  <r>
    <x v="28"/>
    <x v="28"/>
    <x v="28"/>
    <x v="1"/>
    <s v="Pass"/>
    <s v="Pass"/>
    <s v="Fail"/>
    <s v="Pass"/>
    <s v="Pass"/>
    <s v="Pass"/>
    <x v="1"/>
    <x v="1"/>
  </r>
  <r>
    <x v="29"/>
    <x v="29"/>
    <x v="29"/>
    <x v="1"/>
    <s v="Pass"/>
    <s v="Pass"/>
    <s v="Pass"/>
    <s v="Pass"/>
    <s v="Pass"/>
    <s v="Fail"/>
    <x v="1"/>
    <x v="1"/>
  </r>
  <r>
    <x v="30"/>
    <x v="30"/>
    <x v="30"/>
    <x v="0"/>
    <s v="Pass"/>
    <s v="Pass"/>
    <s v="Pass"/>
    <s v="Pass"/>
    <s v="Pass"/>
    <s v="Pass"/>
    <x v="0"/>
    <x v="0"/>
  </r>
  <r>
    <x v="31"/>
    <x v="31"/>
    <x v="31"/>
    <x v="0"/>
    <s v="Pass"/>
    <s v="Pass"/>
    <s v="Pass"/>
    <s v="Pass"/>
    <s v="Fail"/>
    <s v="Pass"/>
    <x v="1"/>
    <x v="5"/>
  </r>
  <r>
    <x v="32"/>
    <x v="32"/>
    <x v="32"/>
    <x v="2"/>
    <s v="Pass"/>
    <s v="Pass"/>
    <s v="Pass"/>
    <s v="Pass"/>
    <s v="Pass"/>
    <s v="Fail"/>
    <x v="1"/>
    <x v="5"/>
  </r>
  <r>
    <x v="33"/>
    <x v="33"/>
    <x v="33"/>
    <x v="2"/>
    <s v="Pass"/>
    <s v="Fail"/>
    <s v="Pass"/>
    <s v="Pass"/>
    <s v="Pass"/>
    <s v="Pass"/>
    <x v="1"/>
    <x v="5"/>
  </r>
  <r>
    <x v="34"/>
    <x v="34"/>
    <x v="34"/>
    <x v="4"/>
    <s v="Pass"/>
    <s v="Pass"/>
    <s v="Pass"/>
    <s v="Pass"/>
    <s v="Pass"/>
    <s v="Pass"/>
    <x v="0"/>
    <x v="0"/>
  </r>
  <r>
    <x v="35"/>
    <x v="35"/>
    <x v="35"/>
    <x v="2"/>
    <s v="Pass"/>
    <s v="Fail"/>
    <s v="Pass"/>
    <s v="Pass"/>
    <s v="Pass"/>
    <s v="Pass"/>
    <x v="1"/>
    <x v="1"/>
  </r>
  <r>
    <x v="36"/>
    <x v="36"/>
    <x v="36"/>
    <x v="3"/>
    <s v="Pass"/>
    <s v="Pass"/>
    <s v="Pass"/>
    <s v="Pass"/>
    <s v="Pass"/>
    <s v="Pass"/>
    <x v="0"/>
    <x v="0"/>
  </r>
  <r>
    <x v="37"/>
    <x v="37"/>
    <x v="37"/>
    <x v="4"/>
    <s v="Pass"/>
    <s v="Pass"/>
    <s v="Pass"/>
    <s v="Pass"/>
    <s v="Pass"/>
    <s v="Pass"/>
    <x v="0"/>
    <x v="0"/>
  </r>
  <r>
    <x v="38"/>
    <x v="38"/>
    <x v="38"/>
    <x v="2"/>
    <s v="Fail"/>
    <s v="Pass"/>
    <s v="Pass"/>
    <s v="Pass"/>
    <s v="Pass"/>
    <s v="Pass"/>
    <x v="1"/>
    <x v="5"/>
  </r>
  <r>
    <x v="39"/>
    <x v="39"/>
    <x v="39"/>
    <x v="0"/>
    <s v="Pass"/>
    <s v="Fail"/>
    <s v="Pass"/>
    <s v="Pass"/>
    <s v="Pass"/>
    <s v="Pass"/>
    <x v="1"/>
    <x v="5"/>
  </r>
  <r>
    <x v="40"/>
    <x v="40"/>
    <x v="40"/>
    <x v="4"/>
    <s v="Pass"/>
    <s v="Pass"/>
    <s v="Pass"/>
    <s v="Pass"/>
    <s v="Pass"/>
    <s v="Fail"/>
    <x v="1"/>
    <x v="1"/>
  </r>
  <r>
    <x v="41"/>
    <x v="41"/>
    <x v="41"/>
    <x v="1"/>
    <s v="Pass"/>
    <s v="Pass"/>
    <s v="Pass"/>
    <s v="Pass"/>
    <s v="Pass"/>
    <s v="Pass"/>
    <x v="0"/>
    <x v="0"/>
  </r>
  <r>
    <x v="42"/>
    <x v="42"/>
    <x v="42"/>
    <x v="4"/>
    <s v="Pass"/>
    <s v="Pass"/>
    <s v="Pass"/>
    <s v="Pass"/>
    <s v="Pass"/>
    <s v="Pass"/>
    <x v="0"/>
    <x v="0"/>
  </r>
  <r>
    <x v="43"/>
    <x v="43"/>
    <x v="43"/>
    <x v="2"/>
    <s v="Pass"/>
    <s v="Pass"/>
    <s v="Pass"/>
    <s v="Pass"/>
    <s v="Pass"/>
    <s v="Pass"/>
    <x v="0"/>
    <x v="0"/>
  </r>
  <r>
    <x v="44"/>
    <x v="44"/>
    <x v="44"/>
    <x v="2"/>
    <s v="Pass"/>
    <s v="Pass"/>
    <s v="Pass"/>
    <s v="Fail"/>
    <s v="Pass"/>
    <s v="Pass"/>
    <x v="1"/>
    <x v="3"/>
  </r>
  <r>
    <x v="45"/>
    <x v="45"/>
    <x v="45"/>
    <x v="0"/>
    <s v="Pass"/>
    <s v="Pass"/>
    <s v="Pass"/>
    <s v="Pass"/>
    <s v="Pass"/>
    <s v="Pass"/>
    <x v="0"/>
    <x v="0"/>
  </r>
  <r>
    <x v="46"/>
    <x v="46"/>
    <x v="46"/>
    <x v="4"/>
    <s v="Pass"/>
    <s v="Pass"/>
    <s v="Pass"/>
    <s v="Pass"/>
    <s v="Pass"/>
    <s v="Pass"/>
    <x v="0"/>
    <x v="0"/>
  </r>
  <r>
    <x v="47"/>
    <x v="47"/>
    <x v="47"/>
    <x v="4"/>
    <s v="Fail"/>
    <s v="Pass"/>
    <s v="Pass"/>
    <s v="Pass"/>
    <s v="Pass"/>
    <s v="Pass"/>
    <x v="1"/>
    <x v="5"/>
  </r>
  <r>
    <x v="48"/>
    <x v="48"/>
    <x v="48"/>
    <x v="3"/>
    <s v="Pass"/>
    <s v="Pass"/>
    <s v="Pass"/>
    <s v="Pass"/>
    <s v="Pass"/>
    <s v="Pass"/>
    <x v="0"/>
    <x v="0"/>
  </r>
  <r>
    <x v="49"/>
    <x v="49"/>
    <x v="49"/>
    <x v="3"/>
    <s v="Pass"/>
    <s v="Pass"/>
    <s v="Pass"/>
    <s v="Pass"/>
    <s v="Pass"/>
    <s v="Pass"/>
    <x v="0"/>
    <x v="0"/>
  </r>
  <r>
    <x v="50"/>
    <x v="50"/>
    <x v="50"/>
    <x v="0"/>
    <s v="Pass"/>
    <s v="Pass"/>
    <s v="Pass"/>
    <s v="Pass"/>
    <s v="Pass"/>
    <s v="Pass"/>
    <x v="0"/>
    <x v="0"/>
  </r>
  <r>
    <x v="51"/>
    <x v="51"/>
    <x v="51"/>
    <x v="4"/>
    <s v="Pass"/>
    <s v="Pass"/>
    <s v="Pass"/>
    <s v="Pass"/>
    <s v="Pass"/>
    <s v="Pass"/>
    <x v="0"/>
    <x v="0"/>
  </r>
  <r>
    <x v="52"/>
    <x v="52"/>
    <x v="52"/>
    <x v="0"/>
    <s v="Pass"/>
    <s v="Pass"/>
    <s v="Pass"/>
    <s v="Pass"/>
    <s v="Fail"/>
    <s v="Pass"/>
    <x v="1"/>
    <x v="5"/>
  </r>
  <r>
    <x v="53"/>
    <x v="53"/>
    <x v="53"/>
    <x v="1"/>
    <s v="Pass"/>
    <s v="Pass"/>
    <s v="Pass"/>
    <s v="Pass"/>
    <s v="Fail"/>
    <s v="Pass"/>
    <x v="1"/>
    <x v="1"/>
  </r>
  <r>
    <x v="54"/>
    <x v="54"/>
    <x v="54"/>
    <x v="4"/>
    <s v="Pass"/>
    <s v="Pass"/>
    <s v="Pass"/>
    <s v="Pass"/>
    <s v="Pass"/>
    <s v="Pass"/>
    <x v="0"/>
    <x v="0"/>
  </r>
  <r>
    <x v="55"/>
    <x v="55"/>
    <x v="55"/>
    <x v="4"/>
    <s v="Pass"/>
    <s v="Pass"/>
    <s v="Pass"/>
    <s v="Pass"/>
    <s v="Pass"/>
    <s v="Fail"/>
    <x v="1"/>
    <x v="1"/>
  </r>
  <r>
    <x v="56"/>
    <x v="56"/>
    <x v="56"/>
    <x v="0"/>
    <s v="Pass"/>
    <s v="Pass"/>
    <s v="Fail"/>
    <s v="Pass"/>
    <s v="Pass"/>
    <s v="Pass"/>
    <x v="1"/>
    <x v="5"/>
  </r>
  <r>
    <x v="57"/>
    <x v="57"/>
    <x v="57"/>
    <x v="0"/>
    <s v="Fail"/>
    <s v="Pass"/>
    <s v="Pass"/>
    <s v="Fail"/>
    <s v="Pass"/>
    <s v="Pass"/>
    <x v="1"/>
    <x v="5"/>
  </r>
  <r>
    <x v="58"/>
    <x v="58"/>
    <x v="58"/>
    <x v="0"/>
    <s v="Pass"/>
    <s v="Pass"/>
    <s v="Pass"/>
    <s v="Pass"/>
    <s v="Pass"/>
    <s v="Pass"/>
    <x v="0"/>
    <x v="0"/>
  </r>
  <r>
    <x v="59"/>
    <x v="59"/>
    <x v="59"/>
    <x v="4"/>
    <s v="Pass"/>
    <s v="Pass"/>
    <s v="Pass"/>
    <s v="Pass"/>
    <s v="Pass"/>
    <s v="Pass"/>
    <x v="0"/>
    <x v="0"/>
  </r>
  <r>
    <x v="60"/>
    <x v="60"/>
    <x v="60"/>
    <x v="0"/>
    <s v="Fail"/>
    <s v="Pass"/>
    <s v="Pass"/>
    <s v="Fail"/>
    <s v="Pass"/>
    <s v="Pass"/>
    <x v="1"/>
    <x v="1"/>
  </r>
  <r>
    <x v="61"/>
    <x v="61"/>
    <x v="61"/>
    <x v="1"/>
    <s v="Pass"/>
    <s v="Fail"/>
    <s v="Pass"/>
    <s v="Pass"/>
    <s v="Pass"/>
    <s v="Pass"/>
    <x v="1"/>
    <x v="5"/>
  </r>
  <r>
    <x v="62"/>
    <x v="62"/>
    <x v="62"/>
    <x v="1"/>
    <s v="Pass"/>
    <s v="Fail"/>
    <s v="Pass"/>
    <s v="Pass"/>
    <s v="Pass"/>
    <s v="Pass"/>
    <x v="1"/>
    <x v="5"/>
  </r>
  <r>
    <x v="63"/>
    <x v="63"/>
    <x v="63"/>
    <x v="0"/>
    <s v="Pass"/>
    <s v="Fail"/>
    <s v="Fail"/>
    <s v="Pass"/>
    <s v="Pass"/>
    <s v="Pass"/>
    <x v="1"/>
    <x v="1"/>
  </r>
  <r>
    <x v="64"/>
    <x v="64"/>
    <x v="64"/>
    <x v="3"/>
    <s v="Pass"/>
    <s v="Pass"/>
    <s v="Pass"/>
    <s v="Pass"/>
    <s v="Pass"/>
    <s v="Fail"/>
    <x v="1"/>
    <x v="2"/>
  </r>
  <r>
    <x v="65"/>
    <x v="65"/>
    <x v="65"/>
    <x v="1"/>
    <s v="Pass"/>
    <s v="Pass"/>
    <s v="Pass"/>
    <s v="Pass"/>
    <s v="Pass"/>
    <s v="Pass"/>
    <x v="0"/>
    <x v="0"/>
  </r>
  <r>
    <x v="66"/>
    <x v="66"/>
    <x v="66"/>
    <x v="0"/>
    <s v="Fail"/>
    <s v="Pass"/>
    <s v="Pass"/>
    <s v="Pass"/>
    <s v="Pass"/>
    <s v="Pass"/>
    <x v="1"/>
    <x v="2"/>
  </r>
  <r>
    <x v="67"/>
    <x v="67"/>
    <x v="67"/>
    <x v="1"/>
    <s v="Pass"/>
    <s v="Pass"/>
    <s v="Fail"/>
    <s v="Pass"/>
    <s v="Fail"/>
    <s v="Pass"/>
    <x v="1"/>
    <x v="2"/>
  </r>
  <r>
    <x v="68"/>
    <x v="68"/>
    <x v="68"/>
    <x v="3"/>
    <s v="Fail"/>
    <s v="Pass"/>
    <s v="Fail"/>
    <s v="Pass"/>
    <s v="Pass"/>
    <s v="Pass"/>
    <x v="1"/>
    <x v="5"/>
  </r>
  <r>
    <x v="69"/>
    <x v="69"/>
    <x v="69"/>
    <x v="4"/>
    <s v="Pass"/>
    <s v="Pass"/>
    <s v="Pass"/>
    <s v="Pass"/>
    <s v="Pass"/>
    <s v="Fail"/>
    <x v="1"/>
    <x v="4"/>
  </r>
  <r>
    <x v="70"/>
    <x v="70"/>
    <x v="70"/>
    <x v="1"/>
    <s v="Pass"/>
    <s v="Pass"/>
    <s v="Pass"/>
    <s v="Pass"/>
    <s v="Pass"/>
    <s v="Pass"/>
    <x v="0"/>
    <x v="0"/>
  </r>
  <r>
    <x v="71"/>
    <x v="71"/>
    <x v="71"/>
    <x v="4"/>
    <s v="Fail"/>
    <s v="Pass"/>
    <s v="Fail"/>
    <s v="Fail"/>
    <s v="Pass"/>
    <s v="Pass"/>
    <x v="1"/>
    <x v="1"/>
  </r>
  <r>
    <x v="72"/>
    <x v="72"/>
    <x v="72"/>
    <x v="0"/>
    <s v="Fail"/>
    <s v="Fail"/>
    <s v="Pass"/>
    <s v="Pass"/>
    <s v="Pass"/>
    <s v="Pass"/>
    <x v="1"/>
    <x v="4"/>
  </r>
  <r>
    <x v="73"/>
    <x v="73"/>
    <x v="73"/>
    <x v="4"/>
    <s v="Pass"/>
    <s v="Pass"/>
    <s v="Pass"/>
    <s v="Pass"/>
    <s v="Pass"/>
    <s v="Pass"/>
    <x v="0"/>
    <x v="0"/>
  </r>
  <r>
    <x v="74"/>
    <x v="74"/>
    <x v="74"/>
    <x v="3"/>
    <s v="Pass"/>
    <s v="Fail"/>
    <s v="Pass"/>
    <s v="Pass"/>
    <s v="Pass"/>
    <s v="Pass"/>
    <x v="1"/>
    <x v="1"/>
  </r>
  <r>
    <x v="75"/>
    <x v="75"/>
    <x v="75"/>
    <x v="4"/>
    <s v="Pass"/>
    <s v="Pass"/>
    <s v="Pass"/>
    <s v="Pass"/>
    <s v="Pass"/>
    <s v="Fail"/>
    <x v="1"/>
    <x v="5"/>
  </r>
  <r>
    <x v="76"/>
    <x v="76"/>
    <x v="76"/>
    <x v="0"/>
    <s v="Pass"/>
    <s v="Pass"/>
    <s v="Pass"/>
    <s v="Pass"/>
    <s v="Pass"/>
    <s v="Pass"/>
    <x v="0"/>
    <x v="0"/>
  </r>
  <r>
    <x v="77"/>
    <x v="77"/>
    <x v="77"/>
    <x v="3"/>
    <s v="Pass"/>
    <s v="Pass"/>
    <s v="Pass"/>
    <s v="Pass"/>
    <s v="Pass"/>
    <s v="Pass"/>
    <x v="0"/>
    <x v="0"/>
  </r>
  <r>
    <x v="78"/>
    <x v="78"/>
    <x v="78"/>
    <x v="3"/>
    <s v="Fail"/>
    <s v="Pass"/>
    <s v="Pass"/>
    <s v="Pass"/>
    <s v="Pass"/>
    <s v="Pass"/>
    <x v="1"/>
    <x v="3"/>
  </r>
  <r>
    <x v="79"/>
    <x v="79"/>
    <x v="79"/>
    <x v="3"/>
    <s v="Pass"/>
    <s v="Pass"/>
    <s v="Pass"/>
    <s v="Pass"/>
    <s v="Pass"/>
    <s v="Pass"/>
    <x v="0"/>
    <x v="0"/>
  </r>
  <r>
    <x v="80"/>
    <x v="80"/>
    <x v="80"/>
    <x v="4"/>
    <s v="Fail"/>
    <s v="Pass"/>
    <s v="Pass"/>
    <s v="Pass"/>
    <s v="Pass"/>
    <s v="Pass"/>
    <x v="1"/>
    <x v="2"/>
  </r>
  <r>
    <x v="81"/>
    <x v="81"/>
    <x v="81"/>
    <x v="1"/>
    <s v="Pass"/>
    <s v="Pass"/>
    <s v="Fail"/>
    <s v="Pass"/>
    <s v="Pass"/>
    <s v="Fail"/>
    <x v="1"/>
    <x v="5"/>
  </r>
  <r>
    <x v="82"/>
    <x v="82"/>
    <x v="82"/>
    <x v="4"/>
    <s v="Pass"/>
    <s v="Fail"/>
    <s v="Pass"/>
    <s v="Pass"/>
    <s v="Fail"/>
    <s v="Pass"/>
    <x v="1"/>
    <x v="2"/>
  </r>
  <r>
    <x v="83"/>
    <x v="83"/>
    <x v="83"/>
    <x v="3"/>
    <s v="Pass"/>
    <s v="Pass"/>
    <s v="Pass"/>
    <s v="Pass"/>
    <s v="Fail"/>
    <s v="Pass"/>
    <x v="1"/>
    <x v="1"/>
  </r>
  <r>
    <x v="84"/>
    <x v="84"/>
    <x v="84"/>
    <x v="4"/>
    <s v="Fail"/>
    <s v="Pass"/>
    <s v="Pass"/>
    <s v="Pass"/>
    <s v="Pass"/>
    <s v="Fail"/>
    <x v="1"/>
    <x v="4"/>
  </r>
  <r>
    <x v="85"/>
    <x v="85"/>
    <x v="85"/>
    <x v="2"/>
    <s v="Fail"/>
    <s v="Fail"/>
    <s v="Pass"/>
    <s v="Pass"/>
    <s v="Pass"/>
    <s v="Pass"/>
    <x v="1"/>
    <x v="1"/>
  </r>
  <r>
    <x v="86"/>
    <x v="86"/>
    <x v="86"/>
    <x v="3"/>
    <s v="Fail"/>
    <s v="Pass"/>
    <s v="Pass"/>
    <s v="Pass"/>
    <s v="Pass"/>
    <s v="Pass"/>
    <x v="1"/>
    <x v="5"/>
  </r>
  <r>
    <x v="87"/>
    <x v="87"/>
    <x v="87"/>
    <x v="2"/>
    <s v="Pass"/>
    <s v="Pass"/>
    <s v="Fail"/>
    <s v="Pass"/>
    <s v="Pass"/>
    <s v="Fail"/>
    <x v="1"/>
    <x v="3"/>
  </r>
  <r>
    <x v="88"/>
    <x v="88"/>
    <x v="88"/>
    <x v="3"/>
    <s v="Pass"/>
    <s v="Pass"/>
    <s v="Pass"/>
    <s v="Fail"/>
    <s v="Pass"/>
    <s v="Pass"/>
    <x v="1"/>
    <x v="4"/>
  </r>
  <r>
    <x v="89"/>
    <x v="89"/>
    <x v="89"/>
    <x v="2"/>
    <s v="Fail"/>
    <s v="Pass"/>
    <s v="Pass"/>
    <s v="Fail"/>
    <s v="Fail"/>
    <s v="Fail"/>
    <x v="1"/>
    <x v="1"/>
  </r>
  <r>
    <x v="90"/>
    <x v="90"/>
    <x v="90"/>
    <x v="2"/>
    <s v="Fail"/>
    <s v="Fail"/>
    <s v="Fail"/>
    <s v="Pass"/>
    <s v="Pass"/>
    <s v="Fail"/>
    <x v="1"/>
    <x v="3"/>
  </r>
  <r>
    <x v="91"/>
    <x v="91"/>
    <x v="91"/>
    <x v="3"/>
    <s v="Pass"/>
    <s v="Pass"/>
    <s v="Pass"/>
    <s v="Pass"/>
    <s v="Pass"/>
    <s v="Fail"/>
    <x v="1"/>
    <x v="4"/>
  </r>
  <r>
    <x v="92"/>
    <x v="92"/>
    <x v="92"/>
    <x v="3"/>
    <s v="Pass"/>
    <s v="Pass"/>
    <s v="Pass"/>
    <s v="Fail"/>
    <s v="Pass"/>
    <s v="Pass"/>
    <x v="1"/>
    <x v="3"/>
  </r>
  <r>
    <x v="93"/>
    <x v="93"/>
    <x v="93"/>
    <x v="0"/>
    <s v="Pass"/>
    <s v="Pass"/>
    <s v="Pass"/>
    <s v="Pass"/>
    <s v="Pass"/>
    <s v="Fail"/>
    <x v="1"/>
    <x v="5"/>
  </r>
  <r>
    <x v="94"/>
    <x v="94"/>
    <x v="94"/>
    <x v="1"/>
    <s v="Pass"/>
    <s v="Pass"/>
    <s v="Fail"/>
    <s v="Pass"/>
    <s v="Pass"/>
    <s v="Pass"/>
    <x v="1"/>
    <x v="3"/>
  </r>
  <r>
    <x v="95"/>
    <x v="95"/>
    <x v="95"/>
    <x v="1"/>
    <s v="Pass"/>
    <s v="Pass"/>
    <s v="Pass"/>
    <s v="Pass"/>
    <s v="Pass"/>
    <s v="Fail"/>
    <x v="1"/>
    <x v="2"/>
  </r>
  <r>
    <x v="96"/>
    <x v="96"/>
    <x v="96"/>
    <x v="3"/>
    <s v="Pass"/>
    <s v="Fail"/>
    <s v="Fail"/>
    <s v="Pass"/>
    <s v="Pass"/>
    <s v="Fail"/>
    <x v="1"/>
    <x v="4"/>
  </r>
  <r>
    <x v="97"/>
    <x v="97"/>
    <x v="97"/>
    <x v="2"/>
    <s v="Pass"/>
    <s v="Pass"/>
    <s v="Pass"/>
    <s v="Pass"/>
    <s v="Pass"/>
    <s v="Pass"/>
    <x v="0"/>
    <x v="0"/>
  </r>
  <r>
    <x v="98"/>
    <x v="98"/>
    <x v="98"/>
    <x v="2"/>
    <s v="Fail"/>
    <s v="Pass"/>
    <s v="Pass"/>
    <s v="Pass"/>
    <s v="Pass"/>
    <s v="Pass"/>
    <x v="1"/>
    <x v="5"/>
  </r>
  <r>
    <x v="99"/>
    <x v="99"/>
    <x v="99"/>
    <x v="1"/>
    <s v="Pass"/>
    <s v="Pass"/>
    <s v="Pass"/>
    <s v="Fail"/>
    <s v="Pass"/>
    <s v="Pass"/>
    <x v="1"/>
    <x v="4"/>
  </r>
  <r>
    <x v="100"/>
    <x v="100"/>
    <x v="100"/>
    <x v="3"/>
    <s v="Pass"/>
    <s v="Pass"/>
    <s v="Pass"/>
    <s v="Pass"/>
    <s v="Pass"/>
    <s v="Pass"/>
    <x v="0"/>
    <x v="0"/>
  </r>
  <r>
    <x v="101"/>
    <x v="101"/>
    <x v="101"/>
    <x v="2"/>
    <s v="Pass"/>
    <s v="Pass"/>
    <s v="Pass"/>
    <s v="Pass"/>
    <s v="Pass"/>
    <s v="Fail"/>
    <x v="1"/>
    <x v="5"/>
  </r>
  <r>
    <x v="102"/>
    <x v="102"/>
    <x v="102"/>
    <x v="4"/>
    <s v="Pass"/>
    <s v="Pass"/>
    <s v="Pass"/>
    <s v="Pass"/>
    <s v="Fail"/>
    <s v="Pass"/>
    <x v="1"/>
    <x v="2"/>
  </r>
  <r>
    <x v="103"/>
    <x v="103"/>
    <x v="103"/>
    <x v="4"/>
    <s v="Pass"/>
    <s v="Pass"/>
    <s v="Pass"/>
    <s v="Pass"/>
    <s v="Pass"/>
    <s v="Fail"/>
    <x v="1"/>
    <x v="3"/>
  </r>
  <r>
    <x v="104"/>
    <x v="104"/>
    <x v="104"/>
    <x v="2"/>
    <s v="Pass"/>
    <s v="Pass"/>
    <s v="Pass"/>
    <s v="Pass"/>
    <s v="Pass"/>
    <s v="Pass"/>
    <x v="0"/>
    <x v="0"/>
  </r>
  <r>
    <x v="105"/>
    <x v="105"/>
    <x v="105"/>
    <x v="4"/>
    <s v="Pass"/>
    <s v="Pass"/>
    <s v="Pass"/>
    <s v="Pass"/>
    <s v="Pass"/>
    <s v="Pass"/>
    <x v="0"/>
    <x v="0"/>
  </r>
  <r>
    <x v="106"/>
    <x v="106"/>
    <x v="106"/>
    <x v="3"/>
    <s v="Pass"/>
    <s v="Pass"/>
    <s v="Pass"/>
    <s v="Pass"/>
    <s v="Pass"/>
    <s v="Pass"/>
    <x v="0"/>
    <x v="0"/>
  </r>
  <r>
    <x v="107"/>
    <x v="107"/>
    <x v="107"/>
    <x v="2"/>
    <s v="Fail"/>
    <s v="Fail"/>
    <s v="Fail"/>
    <s v="Pass"/>
    <s v="Pass"/>
    <s v="Pass"/>
    <x v="1"/>
    <x v="5"/>
  </r>
  <r>
    <x v="108"/>
    <x v="108"/>
    <x v="108"/>
    <x v="0"/>
    <s v="Pass"/>
    <s v="Pass"/>
    <s v="Pass"/>
    <s v="Pass"/>
    <s v="Pass"/>
    <s v="Pass"/>
    <x v="0"/>
    <x v="0"/>
  </r>
  <r>
    <x v="109"/>
    <x v="109"/>
    <x v="109"/>
    <x v="1"/>
    <s v="Pass"/>
    <s v="Pass"/>
    <s v="Pass"/>
    <s v="Pass"/>
    <s v="Pass"/>
    <s v="Pass"/>
    <x v="0"/>
    <x v="0"/>
  </r>
  <r>
    <x v="110"/>
    <x v="110"/>
    <x v="110"/>
    <x v="1"/>
    <s v="Pass"/>
    <s v="Pass"/>
    <s v="Pass"/>
    <s v="Pass"/>
    <s v="Pass"/>
    <s v="Pass"/>
    <x v="0"/>
    <x v="0"/>
  </r>
  <r>
    <x v="111"/>
    <x v="111"/>
    <x v="111"/>
    <x v="1"/>
    <s v="Pass"/>
    <s v="Pass"/>
    <s v="Fail"/>
    <s v="Fail"/>
    <s v="Pass"/>
    <s v="Fail"/>
    <x v="1"/>
    <x v="1"/>
  </r>
  <r>
    <x v="112"/>
    <x v="112"/>
    <x v="112"/>
    <x v="3"/>
    <s v="Fail"/>
    <s v="Pass"/>
    <s v="Fail"/>
    <s v="Pass"/>
    <s v="Pass"/>
    <s v="Pass"/>
    <x v="1"/>
    <x v="3"/>
  </r>
  <r>
    <x v="113"/>
    <x v="113"/>
    <x v="113"/>
    <x v="0"/>
    <s v="Pass"/>
    <s v="Pass"/>
    <s v="Pass"/>
    <s v="Pass"/>
    <s v="Pass"/>
    <s v="Pass"/>
    <x v="0"/>
    <x v="0"/>
  </r>
  <r>
    <x v="114"/>
    <x v="114"/>
    <x v="114"/>
    <x v="0"/>
    <s v="Fail"/>
    <s v="Pass"/>
    <s v="Pass"/>
    <s v="Pass"/>
    <s v="Pass"/>
    <s v="Fail"/>
    <x v="1"/>
    <x v="3"/>
  </r>
  <r>
    <x v="115"/>
    <x v="115"/>
    <x v="115"/>
    <x v="3"/>
    <s v="Pass"/>
    <s v="Pass"/>
    <s v="Pass"/>
    <s v="Pass"/>
    <s v="Pass"/>
    <s v="Pass"/>
    <x v="0"/>
    <x v="0"/>
  </r>
  <r>
    <x v="116"/>
    <x v="116"/>
    <x v="116"/>
    <x v="1"/>
    <s v="Pass"/>
    <s v="Pass"/>
    <s v="Pass"/>
    <s v="Pass"/>
    <s v="Fail"/>
    <s v="Pass"/>
    <x v="1"/>
    <x v="2"/>
  </r>
  <r>
    <x v="117"/>
    <x v="117"/>
    <x v="117"/>
    <x v="4"/>
    <s v="Pass"/>
    <s v="Pass"/>
    <s v="Pass"/>
    <s v="Pass"/>
    <s v="Fail"/>
    <s v="Pass"/>
    <x v="1"/>
    <x v="3"/>
  </r>
  <r>
    <x v="118"/>
    <x v="118"/>
    <x v="118"/>
    <x v="1"/>
    <s v="Pass"/>
    <s v="Pass"/>
    <s v="Pass"/>
    <s v="Pass"/>
    <s v="Pass"/>
    <s v="Pass"/>
    <x v="0"/>
    <x v="0"/>
  </r>
  <r>
    <x v="119"/>
    <x v="119"/>
    <x v="119"/>
    <x v="0"/>
    <s v="Pass"/>
    <s v="Pass"/>
    <s v="Pass"/>
    <s v="Pass"/>
    <s v="Pass"/>
    <s v="Pass"/>
    <x v="0"/>
    <x v="0"/>
  </r>
  <r>
    <x v="120"/>
    <x v="120"/>
    <x v="120"/>
    <x v="3"/>
    <s v="Pass"/>
    <s v="Pass"/>
    <s v="Pass"/>
    <s v="Pass"/>
    <s v="Pass"/>
    <s v="Fail"/>
    <x v="1"/>
    <x v="2"/>
  </r>
  <r>
    <x v="121"/>
    <x v="121"/>
    <x v="121"/>
    <x v="1"/>
    <s v="Pass"/>
    <s v="Fail"/>
    <s v="Pass"/>
    <s v="Pass"/>
    <s v="Pass"/>
    <s v="Pass"/>
    <x v="1"/>
    <x v="3"/>
  </r>
  <r>
    <x v="122"/>
    <x v="122"/>
    <x v="122"/>
    <x v="0"/>
    <s v="Fail"/>
    <s v="Fail"/>
    <s v="Fail"/>
    <s v="Pass"/>
    <s v="Pass"/>
    <s v="Pass"/>
    <x v="1"/>
    <x v="3"/>
  </r>
  <r>
    <x v="123"/>
    <x v="123"/>
    <x v="123"/>
    <x v="3"/>
    <s v="Pass"/>
    <s v="Fail"/>
    <s v="Pass"/>
    <s v="Pass"/>
    <s v="Pass"/>
    <s v="Pass"/>
    <x v="1"/>
    <x v="3"/>
  </r>
  <r>
    <x v="124"/>
    <x v="124"/>
    <x v="124"/>
    <x v="4"/>
    <s v="Pass"/>
    <s v="Pass"/>
    <s v="Pass"/>
    <s v="Pass"/>
    <s v="Fail"/>
    <s v="Fail"/>
    <x v="1"/>
    <x v="1"/>
  </r>
  <r>
    <x v="125"/>
    <x v="125"/>
    <x v="125"/>
    <x v="4"/>
    <s v="Pass"/>
    <s v="Pass"/>
    <s v="Pass"/>
    <s v="Pass"/>
    <s v="Pass"/>
    <s v="Fail"/>
    <x v="1"/>
    <x v="1"/>
  </r>
  <r>
    <x v="126"/>
    <x v="126"/>
    <x v="126"/>
    <x v="1"/>
    <s v="Pass"/>
    <s v="Fail"/>
    <s v="Pass"/>
    <s v="Pass"/>
    <s v="Pass"/>
    <s v="Pass"/>
    <x v="1"/>
    <x v="3"/>
  </r>
  <r>
    <x v="127"/>
    <x v="127"/>
    <x v="127"/>
    <x v="4"/>
    <s v="Pass"/>
    <s v="Pass"/>
    <s v="Pass"/>
    <s v="Pass"/>
    <s v="Pass"/>
    <s v="Pass"/>
    <x v="0"/>
    <x v="0"/>
  </r>
  <r>
    <x v="128"/>
    <x v="128"/>
    <x v="128"/>
    <x v="2"/>
    <s v="Pass"/>
    <s v="Pass"/>
    <s v="Pass"/>
    <s v="Pass"/>
    <s v="Pass"/>
    <s v="Pass"/>
    <x v="0"/>
    <x v="0"/>
  </r>
  <r>
    <x v="129"/>
    <x v="129"/>
    <x v="129"/>
    <x v="1"/>
    <s v="Pass"/>
    <s v="Pass"/>
    <s v="Pass"/>
    <s v="Pass"/>
    <s v="Pass"/>
    <s v="Pass"/>
    <x v="0"/>
    <x v="0"/>
  </r>
  <r>
    <x v="130"/>
    <x v="130"/>
    <x v="130"/>
    <x v="2"/>
    <s v="Pass"/>
    <s v="Fail"/>
    <s v="Pass"/>
    <s v="Pass"/>
    <s v="Pass"/>
    <s v="Pass"/>
    <x v="1"/>
    <x v="1"/>
  </r>
  <r>
    <x v="131"/>
    <x v="131"/>
    <x v="131"/>
    <x v="2"/>
    <s v="Pass"/>
    <s v="Pass"/>
    <s v="Pass"/>
    <s v="Pass"/>
    <s v="Pass"/>
    <s v="Pass"/>
    <x v="0"/>
    <x v="0"/>
  </r>
  <r>
    <x v="132"/>
    <x v="132"/>
    <x v="132"/>
    <x v="0"/>
    <s v="Pass"/>
    <s v="Pass"/>
    <s v="Pass"/>
    <s v="Pass"/>
    <s v="Pass"/>
    <s v="Pass"/>
    <x v="0"/>
    <x v="0"/>
  </r>
  <r>
    <x v="133"/>
    <x v="133"/>
    <x v="133"/>
    <x v="1"/>
    <s v="Fail"/>
    <s v="Pass"/>
    <s v="Pass"/>
    <s v="Pass"/>
    <s v="Pass"/>
    <s v="Pass"/>
    <x v="1"/>
    <x v="5"/>
  </r>
  <r>
    <x v="134"/>
    <x v="134"/>
    <x v="134"/>
    <x v="4"/>
    <s v="Pass"/>
    <s v="Pass"/>
    <s v="Pass"/>
    <s v="Pass"/>
    <s v="Pass"/>
    <s v="Fail"/>
    <x v="1"/>
    <x v="4"/>
  </r>
  <r>
    <x v="135"/>
    <x v="135"/>
    <x v="135"/>
    <x v="1"/>
    <s v="Pass"/>
    <s v="Pass"/>
    <s v="Pass"/>
    <s v="Pass"/>
    <s v="Fail"/>
    <s v="Pass"/>
    <x v="1"/>
    <x v="1"/>
  </r>
  <r>
    <x v="136"/>
    <x v="136"/>
    <x v="136"/>
    <x v="2"/>
    <s v="Pass"/>
    <s v="Pass"/>
    <s v="Pass"/>
    <s v="Pass"/>
    <s v="Pass"/>
    <s v="Fail"/>
    <x v="1"/>
    <x v="1"/>
  </r>
  <r>
    <x v="137"/>
    <x v="137"/>
    <x v="137"/>
    <x v="4"/>
    <s v="Pass"/>
    <s v="Fail"/>
    <s v="Pass"/>
    <s v="Pass"/>
    <s v="Pass"/>
    <s v="Pass"/>
    <x v="1"/>
    <x v="4"/>
  </r>
  <r>
    <x v="138"/>
    <x v="138"/>
    <x v="138"/>
    <x v="4"/>
    <s v="Pass"/>
    <s v="Pass"/>
    <s v="Pass"/>
    <s v="Pass"/>
    <s v="Pass"/>
    <s v="Pass"/>
    <x v="0"/>
    <x v="0"/>
  </r>
  <r>
    <x v="139"/>
    <x v="139"/>
    <x v="139"/>
    <x v="4"/>
    <s v="Fail"/>
    <s v="Pass"/>
    <s v="Pass"/>
    <s v="Pass"/>
    <s v="Pass"/>
    <s v="Pass"/>
    <x v="1"/>
    <x v="1"/>
  </r>
  <r>
    <x v="140"/>
    <x v="140"/>
    <x v="140"/>
    <x v="1"/>
    <s v="Pass"/>
    <s v="Pass"/>
    <s v="Pass"/>
    <s v="Pass"/>
    <s v="Pass"/>
    <s v="Fail"/>
    <x v="1"/>
    <x v="5"/>
  </r>
  <r>
    <x v="141"/>
    <x v="141"/>
    <x v="141"/>
    <x v="3"/>
    <s v="Pass"/>
    <s v="Pass"/>
    <s v="Fail"/>
    <s v="Pass"/>
    <s v="Pass"/>
    <s v="Pass"/>
    <x v="1"/>
    <x v="3"/>
  </r>
  <r>
    <x v="142"/>
    <x v="142"/>
    <x v="142"/>
    <x v="1"/>
    <s v="Pass"/>
    <s v="Pass"/>
    <s v="Pass"/>
    <s v="Pass"/>
    <s v="Pass"/>
    <s v="Fail"/>
    <x v="1"/>
    <x v="1"/>
  </r>
  <r>
    <x v="143"/>
    <x v="143"/>
    <x v="143"/>
    <x v="3"/>
    <s v="Fail"/>
    <s v="Pass"/>
    <s v="Fail"/>
    <s v="Pass"/>
    <s v="Pass"/>
    <s v="Fail"/>
    <x v="1"/>
    <x v="3"/>
  </r>
  <r>
    <x v="144"/>
    <x v="144"/>
    <x v="144"/>
    <x v="0"/>
    <s v="Pass"/>
    <s v="Pass"/>
    <s v="Fail"/>
    <s v="Pass"/>
    <s v="Pass"/>
    <s v="Pass"/>
    <x v="1"/>
    <x v="2"/>
  </r>
  <r>
    <x v="145"/>
    <x v="145"/>
    <x v="145"/>
    <x v="2"/>
    <s v="Pass"/>
    <s v="Fail"/>
    <s v="Fail"/>
    <s v="Pass"/>
    <s v="Pass"/>
    <s v="Pass"/>
    <x v="1"/>
    <x v="1"/>
  </r>
  <r>
    <x v="146"/>
    <x v="146"/>
    <x v="146"/>
    <x v="3"/>
    <s v="Fail"/>
    <s v="Pass"/>
    <s v="Pass"/>
    <s v="Pass"/>
    <s v="Pass"/>
    <s v="Fail"/>
    <x v="1"/>
    <x v="2"/>
  </r>
  <r>
    <x v="147"/>
    <x v="147"/>
    <x v="147"/>
    <x v="4"/>
    <s v="Pass"/>
    <s v="Pass"/>
    <s v="Pass"/>
    <s v="Fail"/>
    <s v="Pass"/>
    <s v="Pass"/>
    <x v="1"/>
    <x v="4"/>
  </r>
  <r>
    <x v="148"/>
    <x v="148"/>
    <x v="148"/>
    <x v="4"/>
    <s v="Pass"/>
    <s v="Pass"/>
    <s v="Pass"/>
    <s v="Pass"/>
    <s v="Pass"/>
    <s v="Pass"/>
    <x v="0"/>
    <x v="0"/>
  </r>
  <r>
    <x v="149"/>
    <x v="149"/>
    <x v="149"/>
    <x v="1"/>
    <s v="Pass"/>
    <s v="Pass"/>
    <s v="Pass"/>
    <s v="Pass"/>
    <s v="Pass"/>
    <s v="Pass"/>
    <x v="0"/>
    <x v="0"/>
  </r>
  <r>
    <x v="150"/>
    <x v="150"/>
    <x v="150"/>
    <x v="1"/>
    <s v="Pass"/>
    <s v="Fail"/>
    <s v="Fail"/>
    <s v="Fail"/>
    <s v="Pass"/>
    <s v="Pass"/>
    <x v="1"/>
    <x v="3"/>
  </r>
  <r>
    <x v="151"/>
    <x v="151"/>
    <x v="151"/>
    <x v="3"/>
    <s v="Fail"/>
    <s v="Pass"/>
    <s v="Pass"/>
    <s v="Pass"/>
    <s v="Pass"/>
    <s v="Pass"/>
    <x v="1"/>
    <x v="3"/>
  </r>
  <r>
    <x v="152"/>
    <x v="152"/>
    <x v="152"/>
    <x v="1"/>
    <s v="Pass"/>
    <s v="Pass"/>
    <s v="Pass"/>
    <s v="Pass"/>
    <s v="Pass"/>
    <s v="Pass"/>
    <x v="0"/>
    <x v="0"/>
  </r>
  <r>
    <x v="153"/>
    <x v="153"/>
    <x v="153"/>
    <x v="2"/>
    <s v="Fail"/>
    <s v="Pass"/>
    <s v="Pass"/>
    <s v="Pass"/>
    <s v="Pass"/>
    <s v="Pass"/>
    <x v="1"/>
    <x v="1"/>
  </r>
  <r>
    <x v="154"/>
    <x v="154"/>
    <x v="154"/>
    <x v="1"/>
    <s v="Pass"/>
    <s v="Fail"/>
    <s v="Pass"/>
    <s v="Pass"/>
    <s v="Pass"/>
    <s v="Pass"/>
    <x v="1"/>
    <x v="2"/>
  </r>
  <r>
    <x v="155"/>
    <x v="155"/>
    <x v="155"/>
    <x v="4"/>
    <s v="Pass"/>
    <s v="Pass"/>
    <s v="Pass"/>
    <s v="Pass"/>
    <s v="Pass"/>
    <s v="Pass"/>
    <x v="0"/>
    <x v="0"/>
  </r>
  <r>
    <x v="156"/>
    <x v="156"/>
    <x v="156"/>
    <x v="0"/>
    <s v="Pass"/>
    <s v="Pass"/>
    <s v="Pass"/>
    <s v="Fail"/>
    <s v="Pass"/>
    <s v="Pass"/>
    <x v="1"/>
    <x v="2"/>
  </r>
  <r>
    <x v="157"/>
    <x v="157"/>
    <x v="157"/>
    <x v="1"/>
    <s v="Pass"/>
    <s v="Pass"/>
    <s v="Pass"/>
    <s v="Pass"/>
    <s v="Pass"/>
    <s v="Pass"/>
    <x v="0"/>
    <x v="0"/>
  </r>
  <r>
    <x v="158"/>
    <x v="158"/>
    <x v="158"/>
    <x v="3"/>
    <s v="Pass"/>
    <s v="Pass"/>
    <s v="Pass"/>
    <s v="Pass"/>
    <s v="Pass"/>
    <s v="Pass"/>
    <x v="0"/>
    <x v="0"/>
  </r>
  <r>
    <x v="159"/>
    <x v="159"/>
    <x v="159"/>
    <x v="2"/>
    <s v="Fail"/>
    <s v="Fail"/>
    <s v="Pass"/>
    <s v="Pass"/>
    <s v="Pass"/>
    <s v="Fail"/>
    <x v="1"/>
    <x v="2"/>
  </r>
  <r>
    <x v="160"/>
    <x v="160"/>
    <x v="160"/>
    <x v="3"/>
    <s v="Pass"/>
    <s v="Pass"/>
    <s v="Pass"/>
    <s v="Pass"/>
    <s v="Pass"/>
    <s v="Pass"/>
    <x v="0"/>
    <x v="0"/>
  </r>
  <r>
    <x v="161"/>
    <x v="161"/>
    <x v="161"/>
    <x v="4"/>
    <s v="Fail"/>
    <s v="Fail"/>
    <s v="Pass"/>
    <s v="Pass"/>
    <s v="Pass"/>
    <s v="Pass"/>
    <x v="1"/>
    <x v="1"/>
  </r>
  <r>
    <x v="162"/>
    <x v="162"/>
    <x v="162"/>
    <x v="1"/>
    <s v="Pass"/>
    <s v="Pass"/>
    <s v="Pass"/>
    <s v="Pass"/>
    <s v="Pass"/>
    <s v="Pass"/>
    <x v="0"/>
    <x v="0"/>
  </r>
  <r>
    <x v="163"/>
    <x v="163"/>
    <x v="163"/>
    <x v="3"/>
    <s v="Pass"/>
    <s v="Pass"/>
    <s v="Pass"/>
    <s v="Fail"/>
    <s v="Pass"/>
    <s v="Fail"/>
    <x v="1"/>
    <x v="1"/>
  </r>
  <r>
    <x v="164"/>
    <x v="164"/>
    <x v="164"/>
    <x v="3"/>
    <s v="Pass"/>
    <s v="Fail"/>
    <s v="Pass"/>
    <s v="Pass"/>
    <s v="Pass"/>
    <s v="Pass"/>
    <x v="1"/>
    <x v="1"/>
  </r>
  <r>
    <x v="165"/>
    <x v="165"/>
    <x v="165"/>
    <x v="0"/>
    <s v="Fail"/>
    <s v="Pass"/>
    <s v="Pass"/>
    <s v="Pass"/>
    <s v="Pass"/>
    <s v="Pass"/>
    <x v="1"/>
    <x v="3"/>
  </r>
  <r>
    <x v="166"/>
    <x v="166"/>
    <x v="166"/>
    <x v="4"/>
    <s v="Pass"/>
    <s v="Pass"/>
    <s v="Pass"/>
    <s v="Pass"/>
    <s v="Pass"/>
    <s v="Fail"/>
    <x v="1"/>
    <x v="2"/>
  </r>
  <r>
    <x v="167"/>
    <x v="167"/>
    <x v="167"/>
    <x v="3"/>
    <s v="Pass"/>
    <s v="Pass"/>
    <s v="Pass"/>
    <s v="Pass"/>
    <s v="Pass"/>
    <s v="Pass"/>
    <x v="0"/>
    <x v="0"/>
  </r>
  <r>
    <x v="168"/>
    <x v="168"/>
    <x v="168"/>
    <x v="1"/>
    <s v="Pass"/>
    <s v="Pass"/>
    <s v="Pass"/>
    <s v="Pass"/>
    <s v="Pass"/>
    <s v="Pass"/>
    <x v="0"/>
    <x v="0"/>
  </r>
  <r>
    <x v="169"/>
    <x v="169"/>
    <x v="169"/>
    <x v="0"/>
    <s v="Pass"/>
    <s v="Pass"/>
    <s v="Pass"/>
    <s v="Pass"/>
    <s v="Pass"/>
    <s v="Pass"/>
    <x v="0"/>
    <x v="0"/>
  </r>
  <r>
    <x v="170"/>
    <x v="170"/>
    <x v="170"/>
    <x v="4"/>
    <s v="Pass"/>
    <s v="Pass"/>
    <s v="Pass"/>
    <s v="Pass"/>
    <s v="Pass"/>
    <s v="Pass"/>
    <x v="0"/>
    <x v="0"/>
  </r>
  <r>
    <x v="171"/>
    <x v="171"/>
    <x v="171"/>
    <x v="3"/>
    <s v="Pass"/>
    <s v="Pass"/>
    <s v="Pass"/>
    <s v="Pass"/>
    <s v="Pass"/>
    <s v="Pass"/>
    <x v="0"/>
    <x v="0"/>
  </r>
  <r>
    <x v="172"/>
    <x v="172"/>
    <x v="172"/>
    <x v="1"/>
    <s v="Pass"/>
    <s v="Pass"/>
    <s v="Fail"/>
    <s v="Pass"/>
    <s v="Pass"/>
    <s v="Pass"/>
    <x v="1"/>
    <x v="1"/>
  </r>
  <r>
    <x v="173"/>
    <x v="173"/>
    <x v="173"/>
    <x v="3"/>
    <s v="Pass"/>
    <s v="Pass"/>
    <s v="Pass"/>
    <s v="Pass"/>
    <s v="Pass"/>
    <s v="Fail"/>
    <x v="1"/>
    <x v="1"/>
  </r>
  <r>
    <x v="174"/>
    <x v="174"/>
    <x v="174"/>
    <x v="1"/>
    <s v="Pass"/>
    <s v="Pass"/>
    <s v="Pass"/>
    <s v="Pass"/>
    <s v="Pass"/>
    <s v="Pass"/>
    <x v="0"/>
    <x v="0"/>
  </r>
  <r>
    <x v="175"/>
    <x v="175"/>
    <x v="175"/>
    <x v="0"/>
    <s v="Fail"/>
    <s v="Fail"/>
    <s v="Fail"/>
    <s v="Pass"/>
    <s v="Pass"/>
    <s v="Pass"/>
    <x v="1"/>
    <x v="1"/>
  </r>
  <r>
    <x v="176"/>
    <x v="176"/>
    <x v="176"/>
    <x v="0"/>
    <s v="Pass"/>
    <s v="Pass"/>
    <s v="Pass"/>
    <s v="Pass"/>
    <s v="Pass"/>
    <s v="Fail"/>
    <x v="1"/>
    <x v="1"/>
  </r>
  <r>
    <x v="177"/>
    <x v="177"/>
    <x v="177"/>
    <x v="0"/>
    <s v="Pass"/>
    <s v="Pass"/>
    <s v="Pass"/>
    <s v="Fail"/>
    <s v="Pass"/>
    <s v="Pass"/>
    <x v="1"/>
    <x v="3"/>
  </r>
  <r>
    <x v="178"/>
    <x v="178"/>
    <x v="178"/>
    <x v="2"/>
    <s v="Pass"/>
    <s v="Pass"/>
    <s v="Pass"/>
    <s v="Pass"/>
    <s v="Fail"/>
    <s v="Pass"/>
    <x v="1"/>
    <x v="2"/>
  </r>
  <r>
    <x v="179"/>
    <x v="179"/>
    <x v="179"/>
    <x v="1"/>
    <s v="Pass"/>
    <s v="Pass"/>
    <s v="Pass"/>
    <s v="Pass"/>
    <s v="Fail"/>
    <s v="Pass"/>
    <x v="1"/>
    <x v="4"/>
  </r>
  <r>
    <x v="180"/>
    <x v="180"/>
    <x v="180"/>
    <x v="4"/>
    <s v="Pass"/>
    <s v="Pass"/>
    <s v="Pass"/>
    <s v="Pass"/>
    <s v="Pass"/>
    <s v="Pass"/>
    <x v="0"/>
    <x v="0"/>
  </r>
  <r>
    <x v="181"/>
    <x v="181"/>
    <x v="181"/>
    <x v="3"/>
    <s v="Pass"/>
    <s v="Pass"/>
    <s v="Pass"/>
    <s v="Pass"/>
    <s v="Pass"/>
    <s v="Pass"/>
    <x v="0"/>
    <x v="0"/>
  </r>
  <r>
    <x v="182"/>
    <x v="182"/>
    <x v="182"/>
    <x v="1"/>
    <s v="Pass"/>
    <s v="Pass"/>
    <s v="Pass"/>
    <s v="Pass"/>
    <s v="Pass"/>
    <s v="Fail"/>
    <x v="1"/>
    <x v="5"/>
  </r>
  <r>
    <x v="183"/>
    <x v="183"/>
    <x v="183"/>
    <x v="2"/>
    <s v="Pass"/>
    <s v="Pass"/>
    <s v="Pass"/>
    <s v="Pass"/>
    <s v="Pass"/>
    <s v="Pass"/>
    <x v="0"/>
    <x v="0"/>
  </r>
  <r>
    <x v="184"/>
    <x v="184"/>
    <x v="184"/>
    <x v="2"/>
    <s v="Pass"/>
    <s v="Fail"/>
    <s v="Pass"/>
    <s v="Pass"/>
    <s v="Pass"/>
    <s v="Pass"/>
    <x v="1"/>
    <x v="5"/>
  </r>
  <r>
    <x v="185"/>
    <x v="185"/>
    <x v="185"/>
    <x v="3"/>
    <s v="Pass"/>
    <s v="Fail"/>
    <s v="Pass"/>
    <s v="Pass"/>
    <s v="Pass"/>
    <s v="Pass"/>
    <x v="1"/>
    <x v="1"/>
  </r>
  <r>
    <x v="186"/>
    <x v="186"/>
    <x v="186"/>
    <x v="1"/>
    <s v="Pass"/>
    <s v="Pass"/>
    <s v="Pass"/>
    <s v="Pass"/>
    <s v="Pass"/>
    <s v="Pass"/>
    <x v="0"/>
    <x v="0"/>
  </r>
  <r>
    <x v="187"/>
    <x v="187"/>
    <x v="187"/>
    <x v="1"/>
    <s v="Pass"/>
    <s v="Fail"/>
    <s v="Fail"/>
    <s v="Pass"/>
    <s v="Pass"/>
    <s v="Pass"/>
    <x v="1"/>
    <x v="5"/>
  </r>
  <r>
    <x v="188"/>
    <x v="188"/>
    <x v="188"/>
    <x v="3"/>
    <s v="Pass"/>
    <s v="Pass"/>
    <s v="Pass"/>
    <s v="Pass"/>
    <s v="Pass"/>
    <s v="Pass"/>
    <x v="0"/>
    <x v="0"/>
  </r>
  <r>
    <x v="189"/>
    <x v="189"/>
    <x v="189"/>
    <x v="4"/>
    <s v="Pass"/>
    <s v="Pass"/>
    <s v="Pass"/>
    <s v="Pass"/>
    <s v="Pass"/>
    <s v="Pass"/>
    <x v="0"/>
    <x v="0"/>
  </r>
  <r>
    <x v="190"/>
    <x v="190"/>
    <x v="190"/>
    <x v="4"/>
    <s v="Pass"/>
    <s v="Pass"/>
    <s v="Pass"/>
    <s v="Pass"/>
    <s v="Pass"/>
    <s v="Pass"/>
    <x v="0"/>
    <x v="0"/>
  </r>
  <r>
    <x v="191"/>
    <x v="191"/>
    <x v="191"/>
    <x v="2"/>
    <s v="Pass"/>
    <s v="Fail"/>
    <s v="Pass"/>
    <s v="Pass"/>
    <s v="Pass"/>
    <s v="Pass"/>
    <x v="1"/>
    <x v="3"/>
  </r>
  <r>
    <x v="192"/>
    <x v="192"/>
    <x v="192"/>
    <x v="4"/>
    <s v="Pass"/>
    <s v="Pass"/>
    <s v="Fail"/>
    <s v="Pass"/>
    <s v="Fail"/>
    <s v="Pass"/>
    <x v="1"/>
    <x v="2"/>
  </r>
  <r>
    <x v="193"/>
    <x v="193"/>
    <x v="193"/>
    <x v="3"/>
    <s v="Pass"/>
    <s v="Pass"/>
    <s v="Pass"/>
    <s v="Pass"/>
    <s v="Pass"/>
    <s v="Pass"/>
    <x v="0"/>
    <x v="0"/>
  </r>
  <r>
    <x v="194"/>
    <x v="194"/>
    <x v="194"/>
    <x v="4"/>
    <s v="Pass"/>
    <s v="Pass"/>
    <s v="Pass"/>
    <s v="Pass"/>
    <s v="Pass"/>
    <s v="Pass"/>
    <x v="0"/>
    <x v="0"/>
  </r>
  <r>
    <x v="195"/>
    <x v="195"/>
    <x v="195"/>
    <x v="1"/>
    <s v="Pass"/>
    <s v="Pass"/>
    <s v="Pass"/>
    <s v="Pass"/>
    <s v="Pass"/>
    <s v="Pass"/>
    <x v="0"/>
    <x v="0"/>
  </r>
  <r>
    <x v="196"/>
    <x v="196"/>
    <x v="196"/>
    <x v="3"/>
    <s v="Pass"/>
    <s v="Pass"/>
    <s v="Pass"/>
    <s v="Pass"/>
    <s v="Pass"/>
    <s v="Pass"/>
    <x v="0"/>
    <x v="0"/>
  </r>
  <r>
    <x v="197"/>
    <x v="197"/>
    <x v="197"/>
    <x v="0"/>
    <s v="Pass"/>
    <s v="Fail"/>
    <s v="Pass"/>
    <s v="Pass"/>
    <s v="Pass"/>
    <s v="Pass"/>
    <x v="1"/>
    <x v="5"/>
  </r>
  <r>
    <x v="198"/>
    <x v="198"/>
    <x v="198"/>
    <x v="4"/>
    <s v="Pass"/>
    <s v="Fail"/>
    <s v="Pass"/>
    <s v="Pass"/>
    <s v="Pass"/>
    <s v="Pass"/>
    <x v="1"/>
    <x v="5"/>
  </r>
  <r>
    <x v="199"/>
    <x v="199"/>
    <x v="199"/>
    <x v="2"/>
    <s v="Pass"/>
    <s v="Pass"/>
    <s v="Fail"/>
    <s v="Pass"/>
    <s v="Pass"/>
    <s v="Pass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A6307-8473-4E0C-8B94-0E74E49E7178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1:B59" firstHeaderRow="1" firstDataRow="1" firstDataCol="1"/>
  <pivotFields count="14">
    <pivotField dataField="1" showAll="0"/>
    <pivotField axis="axisRow"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es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95E91-CC6F-4832-86D9-70F732BDB813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ssue">
  <location ref="A35:B42" firstHeaderRow="1" firstDataRow="1" firstDataCol="1"/>
  <pivotFields count="14"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x="4"/>
        <item x="3"/>
        <item x="0"/>
        <item x="5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7">
    <i>
      <x v="2"/>
    </i>
    <i>
      <x v="5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Count of Issue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D3168-68CF-4C2B-BDAE-DAEB0141124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 Equipment">
  <location ref="A23:B29" firstHeaderRow="1" firstDataRow="1" firstDataCol="1" rowPageCount="1" colPageCount="1"/>
  <pivotFields count="14"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dataField="1" showAll="0" sortType="a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3"/>
    </i>
    <i>
      <x v="4"/>
    </i>
    <i>
      <x v="1"/>
    </i>
    <i>
      <x/>
    </i>
    <i>
      <x v="2"/>
    </i>
    <i t="grand">
      <x/>
    </i>
  </rowItems>
  <colItems count="1">
    <i/>
  </colItems>
  <pageFields count="1">
    <pageField fld="10" item="0" hier="-1"/>
  </pageFields>
  <dataFields count="1">
    <dataField name="Count of Equipment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EDA0E-06E4-4102-B9D6-55B1A1FB07B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verall_Result">
  <location ref="A13:B16" firstHeaderRow="1" firstDataRow="1" firstDataCol="1"/>
  <pivotFields count="14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Overall_Result" fld="1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CB2D64-EC41-4169-9EA5-DB7EEF606842}" name="Test" displayName="Test" ref="A1:L201" totalsRowShown="0">
  <autoFilter ref="A1:L201" xr:uid="{DBCB2D64-EC41-4169-9EA5-DB7EEF606842}"/>
  <tableColumns count="12">
    <tableColumn id="1" xr3:uid="{C2E12DD7-08C2-4577-9F06-2356618CDE00}" name="Test_ID"/>
    <tableColumn id="2" xr3:uid="{BCE77B10-24E0-413C-B220-C90BF07CBDA6}" name="Date" dataDxfId="0"/>
    <tableColumn id="3" xr3:uid="{3AB13BCF-E86D-46B1-A669-B387A9EEA7FB}" name="Device_ID"/>
    <tableColumn id="4" xr3:uid="{78B2707B-8644-40B6-8D8F-304BDC8267A9}" name="Equipment"/>
    <tableColumn id="5" xr3:uid="{E99BE01E-B110-43A8-9138-AD788A6E7C9D}" name="Power"/>
    <tableColumn id="6" xr3:uid="{7486B7D0-0687-4F61-AB2D-41EA214E2D87}" name="WiFi"/>
    <tableColumn id="7" xr3:uid="{04E9FE55-B7E8-407B-B1BD-13A98D284336}" name="Camera"/>
    <tableColumn id="8" xr3:uid="{DB3B854D-2109-4C3A-A26C-AE89B520F207}" name="Linux_Check"/>
    <tableColumn id="9" xr3:uid="{7B0A2FE9-2DC5-4747-9C7D-B7BD1943C210}" name="Python_Script"/>
    <tableColumn id="10" xr3:uid="{EB3DC3AA-3906-4B69-AA35-1B899CDFC04F}" name="Reliability_Test"/>
    <tableColumn id="11" xr3:uid="{7507E91A-429E-48A1-89AF-934DB936EF1E}" name="Overall_Result"/>
    <tableColumn id="12" xr3:uid="{D2AA4B5D-FC5D-4CCE-9388-DD1A29649DAD}" name="Iss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1866-178C-4A2F-B996-4035B723F7C7}">
  <dimension ref="A1:A32"/>
  <sheetViews>
    <sheetView showGridLines="0" tabSelected="1" workbookViewId="0">
      <selection activeCell="O11" sqref="O11"/>
    </sheetView>
  </sheetViews>
  <sheetFormatPr defaultRowHeight="14.4" x14ac:dyDescent="0.3"/>
  <sheetData>
    <row r="1" spans="1:1" s="11" customFormat="1" x14ac:dyDescent="0.3"/>
    <row r="2" spans="1:1" s="11" customFormat="1" x14ac:dyDescent="0.3"/>
    <row r="3" spans="1:1" s="11" customFormat="1" x14ac:dyDescent="0.3"/>
    <row r="4" spans="1:1" s="11" customFormat="1" x14ac:dyDescent="0.3"/>
    <row r="5" spans="1:1" s="11" customFormat="1" x14ac:dyDescent="0.3">
      <c r="A5" s="10"/>
    </row>
    <row r="6" spans="1:1" s="11" customFormat="1" x14ac:dyDescent="0.3">
      <c r="A6" s="10"/>
    </row>
    <row r="7" spans="1:1" s="11" customFormat="1" x14ac:dyDescent="0.3">
      <c r="A7" s="10"/>
    </row>
    <row r="8" spans="1:1" s="11" customFormat="1" x14ac:dyDescent="0.3">
      <c r="A8" s="10"/>
    </row>
    <row r="9" spans="1:1" s="11" customFormat="1" x14ac:dyDescent="0.3">
      <c r="A9" s="10"/>
    </row>
    <row r="10" spans="1:1" s="11" customFormat="1" x14ac:dyDescent="0.3">
      <c r="A10" s="10"/>
    </row>
    <row r="11" spans="1:1" s="11" customFormat="1" x14ac:dyDescent="0.3">
      <c r="A11" s="10"/>
    </row>
    <row r="12" spans="1:1" s="11" customFormat="1" x14ac:dyDescent="0.3">
      <c r="A12" s="10"/>
    </row>
    <row r="13" spans="1:1" s="11" customFormat="1" x14ac:dyDescent="0.3">
      <c r="A13" s="10"/>
    </row>
    <row r="14" spans="1:1" s="11" customFormat="1" x14ac:dyDescent="0.3">
      <c r="A14" s="10"/>
    </row>
    <row r="15" spans="1:1" s="11" customFormat="1" x14ac:dyDescent="0.3">
      <c r="A15" s="10"/>
    </row>
    <row r="16" spans="1:1" s="11" customFormat="1" x14ac:dyDescent="0.3">
      <c r="A16" s="10"/>
    </row>
    <row r="17" spans="1:1" s="11" customFormat="1" x14ac:dyDescent="0.3">
      <c r="A17" s="10"/>
    </row>
    <row r="18" spans="1:1" s="11" customFormat="1" x14ac:dyDescent="0.3">
      <c r="A18" s="10"/>
    </row>
    <row r="19" spans="1:1" s="11" customFormat="1" x14ac:dyDescent="0.3">
      <c r="A19" s="10"/>
    </row>
    <row r="20" spans="1:1" s="11" customFormat="1" x14ac:dyDescent="0.3">
      <c r="A20" s="10"/>
    </row>
    <row r="21" spans="1:1" s="11" customFormat="1" x14ac:dyDescent="0.3">
      <c r="A21" s="10"/>
    </row>
    <row r="22" spans="1:1" s="11" customFormat="1" x14ac:dyDescent="0.3">
      <c r="A22" s="10"/>
    </row>
    <row r="23" spans="1:1" s="11" customFormat="1" x14ac:dyDescent="0.3">
      <c r="A23" s="10"/>
    </row>
    <row r="24" spans="1:1" s="11" customFormat="1" x14ac:dyDescent="0.3">
      <c r="A24" s="10"/>
    </row>
    <row r="25" spans="1:1" s="11" customFormat="1" x14ac:dyDescent="0.3">
      <c r="A25" s="10"/>
    </row>
    <row r="26" spans="1:1" s="11" customFormat="1" x14ac:dyDescent="0.3">
      <c r="A26" s="10"/>
    </row>
    <row r="27" spans="1:1" s="11" customFormat="1" x14ac:dyDescent="0.3">
      <c r="A27" s="10"/>
    </row>
    <row r="28" spans="1:1" s="11" customFormat="1" x14ac:dyDescent="0.3">
      <c r="A28" s="10"/>
    </row>
    <row r="29" spans="1:1" s="11" customFormat="1" x14ac:dyDescent="0.3">
      <c r="A29" s="10"/>
    </row>
    <row r="30" spans="1:1" s="11" customFormat="1" x14ac:dyDescent="0.3">
      <c r="A30" s="10"/>
    </row>
    <row r="31" spans="1:1" s="11" customFormat="1" x14ac:dyDescent="0.3">
      <c r="A31" s="10"/>
    </row>
    <row r="32" spans="1:1" s="11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04BD-5B26-4398-8F1E-A37E91B5C5E5}">
  <dimension ref="A1:B59"/>
  <sheetViews>
    <sheetView topLeftCell="A22" zoomScaleNormal="100" workbookViewId="0">
      <selection activeCell="B5" sqref="B5"/>
    </sheetView>
  </sheetViews>
  <sheetFormatPr defaultRowHeight="14.4" x14ac:dyDescent="0.3"/>
  <cols>
    <col min="1" max="1" width="12.44140625" customWidth="1"/>
    <col min="2" max="2" width="14.21875" customWidth="1"/>
  </cols>
  <sheetData>
    <row r="1" spans="1:2" ht="21" x14ac:dyDescent="0.4">
      <c r="A1" s="2" t="s">
        <v>425</v>
      </c>
    </row>
    <row r="3" spans="1:2" ht="18" x14ac:dyDescent="0.3">
      <c r="A3" s="3" t="s">
        <v>426</v>
      </c>
      <c r="B3" s="4">
        <f>COUNTA(Test[Test_ID])</f>
        <v>200</v>
      </c>
    </row>
    <row r="5" spans="1:2" ht="18" x14ac:dyDescent="0.3">
      <c r="A5" s="3" t="s">
        <v>427</v>
      </c>
      <c r="B5" s="4">
        <f>COUNTIF(Test[Overall_Result],"Pass")</f>
        <v>79</v>
      </c>
    </row>
    <row r="7" spans="1:2" ht="18" x14ac:dyDescent="0.3">
      <c r="A7" s="3" t="s">
        <v>428</v>
      </c>
      <c r="B7" s="4">
        <f>COUNTIF(Test[Overall_Result],"Fail")</f>
        <v>121</v>
      </c>
    </row>
    <row r="9" spans="1:2" ht="18" x14ac:dyDescent="0.3">
      <c r="A9" s="3" t="s">
        <v>429</v>
      </c>
      <c r="B9" s="6">
        <f>B5/B3</f>
        <v>0.39500000000000002</v>
      </c>
    </row>
    <row r="10" spans="1:2" x14ac:dyDescent="0.3">
      <c r="B10" s="5"/>
    </row>
    <row r="12" spans="1:2" ht="21" x14ac:dyDescent="0.4">
      <c r="A12" s="2" t="s">
        <v>434</v>
      </c>
    </row>
    <row r="13" spans="1:2" x14ac:dyDescent="0.3">
      <c r="A13" s="7" t="s">
        <v>10</v>
      </c>
      <c r="B13" t="s">
        <v>432</v>
      </c>
    </row>
    <row r="14" spans="1:2" x14ac:dyDescent="0.3">
      <c r="A14" s="8" t="s">
        <v>27</v>
      </c>
      <c r="B14" s="9">
        <v>121</v>
      </c>
    </row>
    <row r="15" spans="1:2" x14ac:dyDescent="0.3">
      <c r="A15" s="8" t="s">
        <v>15</v>
      </c>
      <c r="B15" s="9">
        <v>79</v>
      </c>
    </row>
    <row r="16" spans="1:2" x14ac:dyDescent="0.3">
      <c r="A16" s="8" t="s">
        <v>431</v>
      </c>
      <c r="B16" s="9">
        <v>200</v>
      </c>
    </row>
    <row r="17" spans="1:2" ht="15" customHeight="1" x14ac:dyDescent="0.3"/>
    <row r="18" spans="1:2" ht="15" customHeight="1" x14ac:dyDescent="0.3"/>
    <row r="19" spans="1:2" ht="15" customHeight="1" x14ac:dyDescent="0.3"/>
    <row r="20" spans="1:2" ht="21" x14ac:dyDescent="0.4">
      <c r="A20" s="2" t="s">
        <v>435</v>
      </c>
    </row>
    <row r="21" spans="1:2" x14ac:dyDescent="0.3">
      <c r="A21" s="7" t="s">
        <v>10</v>
      </c>
      <c r="B21" t="s">
        <v>27</v>
      </c>
    </row>
    <row r="23" spans="1:2" x14ac:dyDescent="0.3">
      <c r="A23" s="7" t="s">
        <v>436</v>
      </c>
      <c r="B23" t="s">
        <v>433</v>
      </c>
    </row>
    <row r="24" spans="1:2" x14ac:dyDescent="0.3">
      <c r="A24" s="8" t="s">
        <v>14</v>
      </c>
      <c r="B24" s="9">
        <v>21</v>
      </c>
    </row>
    <row r="25" spans="1:2" x14ac:dyDescent="0.3">
      <c r="A25" s="8" t="s">
        <v>34</v>
      </c>
      <c r="B25" s="9">
        <v>23</v>
      </c>
    </row>
    <row r="26" spans="1:2" x14ac:dyDescent="0.3">
      <c r="A26" s="8" t="s">
        <v>26</v>
      </c>
      <c r="B26" s="9">
        <v>24</v>
      </c>
    </row>
    <row r="27" spans="1:2" x14ac:dyDescent="0.3">
      <c r="A27" s="8" t="s">
        <v>44</v>
      </c>
      <c r="B27" s="9">
        <v>26</v>
      </c>
    </row>
    <row r="28" spans="1:2" x14ac:dyDescent="0.3">
      <c r="A28" s="8" t="s">
        <v>21</v>
      </c>
      <c r="B28" s="9">
        <v>27</v>
      </c>
    </row>
    <row r="29" spans="1:2" x14ac:dyDescent="0.3">
      <c r="A29" s="8" t="s">
        <v>431</v>
      </c>
      <c r="B29" s="9">
        <v>121</v>
      </c>
    </row>
    <row r="33" spans="1:2" ht="21" x14ac:dyDescent="0.4">
      <c r="A33" s="2" t="s">
        <v>437</v>
      </c>
    </row>
    <row r="35" spans="1:2" x14ac:dyDescent="0.3">
      <c r="A35" s="7" t="s">
        <v>11</v>
      </c>
      <c r="B35" t="s">
        <v>438</v>
      </c>
    </row>
    <row r="36" spans="1:2" x14ac:dyDescent="0.3">
      <c r="A36" s="8" t="s">
        <v>16</v>
      </c>
      <c r="B36" s="9">
        <v>79</v>
      </c>
    </row>
    <row r="37" spans="1:2" x14ac:dyDescent="0.3">
      <c r="A37" s="8" t="s">
        <v>28</v>
      </c>
      <c r="B37" s="9">
        <v>32</v>
      </c>
    </row>
    <row r="38" spans="1:2" x14ac:dyDescent="0.3">
      <c r="A38" s="8" t="s">
        <v>74</v>
      </c>
      <c r="B38" s="9">
        <v>27</v>
      </c>
    </row>
    <row r="39" spans="1:2" x14ac:dyDescent="0.3">
      <c r="A39" s="8" t="s">
        <v>35</v>
      </c>
      <c r="B39" s="9">
        <v>26</v>
      </c>
    </row>
    <row r="40" spans="1:2" x14ac:dyDescent="0.3">
      <c r="A40" s="8" t="s">
        <v>31</v>
      </c>
      <c r="B40" s="9">
        <v>21</v>
      </c>
    </row>
    <row r="41" spans="1:2" x14ac:dyDescent="0.3">
      <c r="A41" s="8" t="s">
        <v>51</v>
      </c>
      <c r="B41" s="9">
        <v>15</v>
      </c>
    </row>
    <row r="42" spans="1:2" x14ac:dyDescent="0.3">
      <c r="A42" s="8" t="s">
        <v>431</v>
      </c>
      <c r="B42" s="9">
        <v>200</v>
      </c>
    </row>
    <row r="49" spans="1:2" ht="21" x14ac:dyDescent="0.4">
      <c r="A49" s="2" t="s">
        <v>439</v>
      </c>
    </row>
    <row r="51" spans="1:2" x14ac:dyDescent="0.3">
      <c r="A51" s="7" t="s">
        <v>430</v>
      </c>
      <c r="B51" t="s">
        <v>447</v>
      </c>
    </row>
    <row r="52" spans="1:2" x14ac:dyDescent="0.3">
      <c r="A52" s="8" t="s">
        <v>440</v>
      </c>
      <c r="B52" s="9">
        <v>30</v>
      </c>
    </row>
    <row r="53" spans="1:2" x14ac:dyDescent="0.3">
      <c r="A53" s="8" t="s">
        <v>441</v>
      </c>
      <c r="B53" s="9">
        <v>28</v>
      </c>
    </row>
    <row r="54" spans="1:2" x14ac:dyDescent="0.3">
      <c r="A54" s="8" t="s">
        <v>442</v>
      </c>
      <c r="B54" s="9">
        <v>31</v>
      </c>
    </row>
    <row r="55" spans="1:2" x14ac:dyDescent="0.3">
      <c r="A55" s="8" t="s">
        <v>443</v>
      </c>
      <c r="B55" s="9">
        <v>30</v>
      </c>
    </row>
    <row r="56" spans="1:2" x14ac:dyDescent="0.3">
      <c r="A56" s="8" t="s">
        <v>444</v>
      </c>
      <c r="B56" s="9">
        <v>31</v>
      </c>
    </row>
    <row r="57" spans="1:2" x14ac:dyDescent="0.3">
      <c r="A57" s="8" t="s">
        <v>445</v>
      </c>
      <c r="B57" s="9">
        <v>30</v>
      </c>
    </row>
    <row r="58" spans="1:2" x14ac:dyDescent="0.3">
      <c r="A58" s="8" t="s">
        <v>446</v>
      </c>
      <c r="B58" s="9">
        <v>20</v>
      </c>
    </row>
    <row r="59" spans="1:2" x14ac:dyDescent="0.3">
      <c r="A59" s="8" t="s">
        <v>431</v>
      </c>
      <c r="B59" s="9">
        <v>200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36BB-E18B-4797-AFA1-128CF10FA9B9}">
  <dimension ref="A1:L201"/>
  <sheetViews>
    <sheetView topLeftCell="D1" workbookViewId="0">
      <selection activeCell="A2" sqref="A2"/>
    </sheetView>
  </sheetViews>
  <sheetFormatPr defaultRowHeight="14.4" x14ac:dyDescent="0.3"/>
  <cols>
    <col min="3" max="3" width="11.109375" customWidth="1"/>
    <col min="4" max="4" width="12" customWidth="1"/>
    <col min="7" max="7" width="9.44140625" customWidth="1"/>
    <col min="8" max="8" width="13.21875" customWidth="1"/>
    <col min="9" max="9" width="14.44140625" customWidth="1"/>
    <col min="10" max="10" width="15.6640625" customWidth="1"/>
    <col min="11" max="11" width="14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46024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16</v>
      </c>
    </row>
    <row r="3" spans="1:12" x14ac:dyDescent="0.3">
      <c r="A3" t="s">
        <v>17</v>
      </c>
      <c r="B3" s="1">
        <v>46025</v>
      </c>
      <c r="C3" t="s">
        <v>18</v>
      </c>
      <c r="D3" t="s">
        <v>14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16</v>
      </c>
    </row>
    <row r="4" spans="1:12" x14ac:dyDescent="0.3">
      <c r="A4" t="s">
        <v>19</v>
      </c>
      <c r="B4" s="1">
        <v>46026</v>
      </c>
      <c r="C4" t="s">
        <v>20</v>
      </c>
      <c r="D4" t="s">
        <v>21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16</v>
      </c>
    </row>
    <row r="5" spans="1:12" x14ac:dyDescent="0.3">
      <c r="A5" t="s">
        <v>22</v>
      </c>
      <c r="B5" s="1">
        <v>46027</v>
      </c>
      <c r="C5" t="s">
        <v>23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16</v>
      </c>
    </row>
    <row r="6" spans="1:12" x14ac:dyDescent="0.3">
      <c r="A6" t="s">
        <v>24</v>
      </c>
      <c r="B6" s="1">
        <v>46028</v>
      </c>
      <c r="C6" t="s">
        <v>25</v>
      </c>
      <c r="D6" t="s">
        <v>26</v>
      </c>
      <c r="E6" t="s">
        <v>27</v>
      </c>
      <c r="F6" t="s">
        <v>15</v>
      </c>
      <c r="G6" t="s">
        <v>15</v>
      </c>
      <c r="H6" t="s">
        <v>27</v>
      </c>
      <c r="I6" t="s">
        <v>15</v>
      </c>
      <c r="J6" t="s">
        <v>15</v>
      </c>
      <c r="K6" t="s">
        <v>27</v>
      </c>
      <c r="L6" t="s">
        <v>28</v>
      </c>
    </row>
    <row r="7" spans="1:12" x14ac:dyDescent="0.3">
      <c r="A7" t="s">
        <v>29</v>
      </c>
      <c r="B7" s="1">
        <v>46029</v>
      </c>
      <c r="C7" t="s">
        <v>30</v>
      </c>
      <c r="D7" t="s">
        <v>21</v>
      </c>
      <c r="E7" t="s">
        <v>15</v>
      </c>
      <c r="F7" t="s">
        <v>15</v>
      </c>
      <c r="G7" t="s">
        <v>15</v>
      </c>
      <c r="H7" t="s">
        <v>15</v>
      </c>
      <c r="I7" t="s">
        <v>27</v>
      </c>
      <c r="J7" t="s">
        <v>15</v>
      </c>
      <c r="K7" t="s">
        <v>27</v>
      </c>
      <c r="L7" t="s">
        <v>31</v>
      </c>
    </row>
    <row r="8" spans="1:12" x14ac:dyDescent="0.3">
      <c r="A8" t="s">
        <v>32</v>
      </c>
      <c r="B8" s="1">
        <v>46030</v>
      </c>
      <c r="C8" t="s">
        <v>33</v>
      </c>
      <c r="D8" t="s">
        <v>34</v>
      </c>
      <c r="E8" t="s">
        <v>15</v>
      </c>
      <c r="F8" t="s">
        <v>27</v>
      </c>
      <c r="G8" t="s">
        <v>27</v>
      </c>
      <c r="H8" t="s">
        <v>27</v>
      </c>
      <c r="I8" t="s">
        <v>15</v>
      </c>
      <c r="J8" t="s">
        <v>27</v>
      </c>
      <c r="K8" t="s">
        <v>27</v>
      </c>
      <c r="L8" t="s">
        <v>35</v>
      </c>
    </row>
    <row r="9" spans="1:12" x14ac:dyDescent="0.3">
      <c r="A9" t="s">
        <v>36</v>
      </c>
      <c r="B9" s="1">
        <v>46031</v>
      </c>
      <c r="C9" t="s">
        <v>37</v>
      </c>
      <c r="D9" t="s">
        <v>34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16</v>
      </c>
    </row>
    <row r="10" spans="1:12" x14ac:dyDescent="0.3">
      <c r="A10" t="s">
        <v>38</v>
      </c>
      <c r="B10" s="1">
        <v>46032</v>
      </c>
      <c r="C10" t="s">
        <v>39</v>
      </c>
      <c r="D10" t="s">
        <v>14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16</v>
      </c>
    </row>
    <row r="11" spans="1:12" x14ac:dyDescent="0.3">
      <c r="A11" t="s">
        <v>40</v>
      </c>
      <c r="B11" s="1">
        <v>46033</v>
      </c>
      <c r="C11" t="s">
        <v>41</v>
      </c>
      <c r="D11" t="s">
        <v>26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16</v>
      </c>
    </row>
    <row r="12" spans="1:12" x14ac:dyDescent="0.3">
      <c r="A12" t="s">
        <v>42</v>
      </c>
      <c r="B12" s="1">
        <v>46034</v>
      </c>
      <c r="C12" t="s">
        <v>43</v>
      </c>
      <c r="D12" t="s">
        <v>44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16</v>
      </c>
    </row>
    <row r="13" spans="1:12" x14ac:dyDescent="0.3">
      <c r="A13" t="s">
        <v>45</v>
      </c>
      <c r="B13" s="1">
        <v>46035</v>
      </c>
      <c r="C13" t="s">
        <v>46</v>
      </c>
      <c r="D13" t="s">
        <v>44</v>
      </c>
      <c r="E13" t="s">
        <v>15</v>
      </c>
      <c r="F13" t="s">
        <v>27</v>
      </c>
      <c r="G13" t="s">
        <v>15</v>
      </c>
      <c r="H13" t="s">
        <v>15</v>
      </c>
      <c r="I13" t="s">
        <v>27</v>
      </c>
      <c r="J13" t="s">
        <v>15</v>
      </c>
      <c r="K13" t="s">
        <v>27</v>
      </c>
      <c r="L13" t="s">
        <v>35</v>
      </c>
    </row>
    <row r="14" spans="1:12" x14ac:dyDescent="0.3">
      <c r="A14" t="s">
        <v>47</v>
      </c>
      <c r="B14" s="1">
        <v>46036</v>
      </c>
      <c r="C14" t="s">
        <v>48</v>
      </c>
      <c r="D14" t="s">
        <v>21</v>
      </c>
      <c r="E14" t="s">
        <v>15</v>
      </c>
      <c r="F14" t="s">
        <v>15</v>
      </c>
      <c r="G14" t="s">
        <v>15</v>
      </c>
      <c r="H14" t="s">
        <v>15</v>
      </c>
      <c r="I14" t="s">
        <v>27</v>
      </c>
      <c r="J14" t="s">
        <v>15</v>
      </c>
      <c r="K14" t="s">
        <v>27</v>
      </c>
      <c r="L14" t="s">
        <v>31</v>
      </c>
    </row>
    <row r="15" spans="1:12" x14ac:dyDescent="0.3">
      <c r="A15" t="s">
        <v>49</v>
      </c>
      <c r="B15" s="1">
        <v>46037</v>
      </c>
      <c r="C15" t="s">
        <v>50</v>
      </c>
      <c r="D15" t="s">
        <v>44</v>
      </c>
      <c r="E15" t="s">
        <v>15</v>
      </c>
      <c r="F15" t="s">
        <v>15</v>
      </c>
      <c r="G15" t="s">
        <v>27</v>
      </c>
      <c r="H15" t="s">
        <v>27</v>
      </c>
      <c r="I15" t="s">
        <v>15</v>
      </c>
      <c r="J15" t="s">
        <v>15</v>
      </c>
      <c r="K15" t="s">
        <v>27</v>
      </c>
      <c r="L15" t="s">
        <v>51</v>
      </c>
    </row>
    <row r="16" spans="1:12" x14ac:dyDescent="0.3">
      <c r="A16" t="s">
        <v>52</v>
      </c>
      <c r="B16" s="1">
        <v>46038</v>
      </c>
      <c r="C16" t="s">
        <v>53</v>
      </c>
      <c r="D16" t="s">
        <v>21</v>
      </c>
      <c r="E16" t="s">
        <v>15</v>
      </c>
      <c r="F16" t="s">
        <v>15</v>
      </c>
      <c r="G16" t="s">
        <v>27</v>
      </c>
      <c r="H16" t="s">
        <v>15</v>
      </c>
      <c r="I16" t="s">
        <v>15</v>
      </c>
      <c r="J16" t="s">
        <v>15</v>
      </c>
      <c r="K16" t="s">
        <v>27</v>
      </c>
      <c r="L16" t="s">
        <v>51</v>
      </c>
    </row>
    <row r="17" spans="1:12" x14ac:dyDescent="0.3">
      <c r="A17" t="s">
        <v>54</v>
      </c>
      <c r="B17" s="1">
        <v>46039</v>
      </c>
      <c r="C17" t="s">
        <v>55</v>
      </c>
      <c r="D17" t="s">
        <v>14</v>
      </c>
      <c r="E17" t="s">
        <v>15</v>
      </c>
      <c r="F17" t="s">
        <v>27</v>
      </c>
      <c r="G17" t="s">
        <v>15</v>
      </c>
      <c r="H17" t="s">
        <v>15</v>
      </c>
      <c r="I17" t="s">
        <v>27</v>
      </c>
      <c r="J17" t="s">
        <v>15</v>
      </c>
      <c r="K17" t="s">
        <v>27</v>
      </c>
      <c r="L17" t="s">
        <v>51</v>
      </c>
    </row>
    <row r="18" spans="1:12" x14ac:dyDescent="0.3">
      <c r="A18" t="s">
        <v>56</v>
      </c>
      <c r="B18" s="1">
        <v>46040</v>
      </c>
      <c r="C18" t="s">
        <v>57</v>
      </c>
      <c r="D18" t="s">
        <v>21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16</v>
      </c>
    </row>
    <row r="19" spans="1:12" x14ac:dyDescent="0.3">
      <c r="A19" t="s">
        <v>58</v>
      </c>
      <c r="B19" s="1">
        <v>46041</v>
      </c>
      <c r="C19" t="s">
        <v>59</v>
      </c>
      <c r="D19" t="s">
        <v>44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16</v>
      </c>
    </row>
    <row r="20" spans="1:12" x14ac:dyDescent="0.3">
      <c r="A20" t="s">
        <v>60</v>
      </c>
      <c r="B20" s="1">
        <v>46042</v>
      </c>
      <c r="C20" t="s">
        <v>61</v>
      </c>
      <c r="D20" t="s">
        <v>44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16</v>
      </c>
    </row>
    <row r="21" spans="1:12" x14ac:dyDescent="0.3">
      <c r="A21" t="s">
        <v>62</v>
      </c>
      <c r="B21" s="1">
        <v>46043</v>
      </c>
      <c r="C21" t="s">
        <v>63</v>
      </c>
      <c r="D21" t="s">
        <v>14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27</v>
      </c>
      <c r="K21" t="s">
        <v>27</v>
      </c>
      <c r="L21" t="s">
        <v>35</v>
      </c>
    </row>
    <row r="22" spans="1:12" x14ac:dyDescent="0.3">
      <c r="A22" t="s">
        <v>64</v>
      </c>
      <c r="B22" s="1">
        <v>46044</v>
      </c>
      <c r="C22" t="s">
        <v>65</v>
      </c>
      <c r="D22" t="s">
        <v>44</v>
      </c>
      <c r="E22" t="s">
        <v>27</v>
      </c>
      <c r="F22" t="s">
        <v>15</v>
      </c>
      <c r="G22" t="s">
        <v>15</v>
      </c>
      <c r="H22" t="s">
        <v>15</v>
      </c>
      <c r="I22" t="s">
        <v>15</v>
      </c>
      <c r="J22" t="s">
        <v>27</v>
      </c>
      <c r="K22" t="s">
        <v>27</v>
      </c>
      <c r="L22" t="s">
        <v>51</v>
      </c>
    </row>
    <row r="23" spans="1:12" x14ac:dyDescent="0.3">
      <c r="A23" t="s">
        <v>66</v>
      </c>
      <c r="B23" s="1">
        <v>46045</v>
      </c>
      <c r="C23" t="s">
        <v>67</v>
      </c>
      <c r="D23" t="s">
        <v>26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16</v>
      </c>
    </row>
    <row r="24" spans="1:12" x14ac:dyDescent="0.3">
      <c r="A24" t="s">
        <v>68</v>
      </c>
      <c r="B24" s="1">
        <v>46046</v>
      </c>
      <c r="C24" t="s">
        <v>69</v>
      </c>
      <c r="D24" t="s">
        <v>34</v>
      </c>
      <c r="E24" t="s">
        <v>27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27</v>
      </c>
      <c r="L24" t="s">
        <v>31</v>
      </c>
    </row>
    <row r="25" spans="1:12" x14ac:dyDescent="0.3">
      <c r="A25" t="s">
        <v>70</v>
      </c>
      <c r="B25" s="1">
        <v>46047</v>
      </c>
      <c r="C25" t="s">
        <v>71</v>
      </c>
      <c r="D25" t="s">
        <v>26</v>
      </c>
      <c r="E25" t="s">
        <v>15</v>
      </c>
      <c r="F25" t="s">
        <v>15</v>
      </c>
      <c r="G25" t="s">
        <v>15</v>
      </c>
      <c r="H25" t="s">
        <v>27</v>
      </c>
      <c r="I25" t="s">
        <v>15</v>
      </c>
      <c r="J25" t="s">
        <v>27</v>
      </c>
      <c r="K25" t="s">
        <v>27</v>
      </c>
      <c r="L25" t="s">
        <v>31</v>
      </c>
    </row>
    <row r="26" spans="1:12" x14ac:dyDescent="0.3">
      <c r="A26" t="s">
        <v>72</v>
      </c>
      <c r="B26" s="1">
        <v>46048</v>
      </c>
      <c r="C26" t="s">
        <v>73</v>
      </c>
      <c r="D26" t="s">
        <v>44</v>
      </c>
      <c r="E26" t="s">
        <v>15</v>
      </c>
      <c r="F26" t="s">
        <v>15</v>
      </c>
      <c r="G26" t="s">
        <v>27</v>
      </c>
      <c r="H26" t="s">
        <v>15</v>
      </c>
      <c r="I26" t="s">
        <v>15</v>
      </c>
      <c r="J26" t="s">
        <v>15</v>
      </c>
      <c r="K26" t="s">
        <v>27</v>
      </c>
      <c r="L26" t="s">
        <v>74</v>
      </c>
    </row>
    <row r="27" spans="1:12" x14ac:dyDescent="0.3">
      <c r="A27" t="s">
        <v>75</v>
      </c>
      <c r="B27" s="1">
        <v>46049</v>
      </c>
      <c r="C27" t="s">
        <v>76</v>
      </c>
      <c r="D27" t="s">
        <v>21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16</v>
      </c>
    </row>
    <row r="28" spans="1:12" x14ac:dyDescent="0.3">
      <c r="A28" t="s">
        <v>77</v>
      </c>
      <c r="B28" s="1">
        <v>46050</v>
      </c>
      <c r="C28" t="s">
        <v>78</v>
      </c>
      <c r="D28" t="s">
        <v>34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16</v>
      </c>
    </row>
    <row r="29" spans="1:12" x14ac:dyDescent="0.3">
      <c r="A29" t="s">
        <v>79</v>
      </c>
      <c r="B29" s="1">
        <v>46051</v>
      </c>
      <c r="C29" t="s">
        <v>80</v>
      </c>
      <c r="D29" t="s">
        <v>26</v>
      </c>
      <c r="E29" t="s">
        <v>15</v>
      </c>
      <c r="F29" t="s">
        <v>15</v>
      </c>
      <c r="G29" t="s">
        <v>27</v>
      </c>
      <c r="H29" t="s">
        <v>15</v>
      </c>
      <c r="I29" t="s">
        <v>15</v>
      </c>
      <c r="J29" t="s">
        <v>15</v>
      </c>
      <c r="K29" t="s">
        <v>27</v>
      </c>
      <c r="L29" t="s">
        <v>35</v>
      </c>
    </row>
    <row r="30" spans="1:12" x14ac:dyDescent="0.3">
      <c r="A30" t="s">
        <v>81</v>
      </c>
      <c r="B30" s="1">
        <v>46052</v>
      </c>
      <c r="C30" t="s">
        <v>82</v>
      </c>
      <c r="D30" t="s">
        <v>21</v>
      </c>
      <c r="E30" t="s">
        <v>15</v>
      </c>
      <c r="F30" t="s">
        <v>15</v>
      </c>
      <c r="G30" t="s">
        <v>27</v>
      </c>
      <c r="H30" t="s">
        <v>15</v>
      </c>
      <c r="I30" t="s">
        <v>15</v>
      </c>
      <c r="J30" t="s">
        <v>15</v>
      </c>
      <c r="K30" t="s">
        <v>27</v>
      </c>
      <c r="L30" t="s">
        <v>28</v>
      </c>
    </row>
    <row r="31" spans="1:12" x14ac:dyDescent="0.3">
      <c r="A31" t="s">
        <v>83</v>
      </c>
      <c r="B31" s="1">
        <v>46053</v>
      </c>
      <c r="C31" t="s">
        <v>84</v>
      </c>
      <c r="D31" t="s">
        <v>21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27</v>
      </c>
      <c r="K31" t="s">
        <v>27</v>
      </c>
      <c r="L31" t="s">
        <v>28</v>
      </c>
    </row>
    <row r="32" spans="1:12" x14ac:dyDescent="0.3">
      <c r="A32" t="s">
        <v>85</v>
      </c>
      <c r="B32" s="1">
        <v>46054</v>
      </c>
      <c r="C32" t="s">
        <v>86</v>
      </c>
      <c r="D32" t="s">
        <v>14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16</v>
      </c>
    </row>
    <row r="33" spans="1:12" x14ac:dyDescent="0.3">
      <c r="A33" t="s">
        <v>87</v>
      </c>
      <c r="B33" s="1">
        <v>46055</v>
      </c>
      <c r="C33" t="s">
        <v>88</v>
      </c>
      <c r="D33" t="s">
        <v>14</v>
      </c>
      <c r="E33" t="s">
        <v>15</v>
      </c>
      <c r="F33" t="s">
        <v>15</v>
      </c>
      <c r="G33" t="s">
        <v>15</v>
      </c>
      <c r="H33" t="s">
        <v>15</v>
      </c>
      <c r="I33" t="s">
        <v>27</v>
      </c>
      <c r="J33" t="s">
        <v>15</v>
      </c>
      <c r="K33" t="s">
        <v>27</v>
      </c>
      <c r="L33" t="s">
        <v>74</v>
      </c>
    </row>
    <row r="34" spans="1:12" x14ac:dyDescent="0.3">
      <c r="A34" t="s">
        <v>89</v>
      </c>
      <c r="B34" s="1">
        <v>46056</v>
      </c>
      <c r="C34" t="s">
        <v>90</v>
      </c>
      <c r="D34" t="s">
        <v>26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27</v>
      </c>
      <c r="K34" t="s">
        <v>27</v>
      </c>
      <c r="L34" t="s">
        <v>74</v>
      </c>
    </row>
    <row r="35" spans="1:12" x14ac:dyDescent="0.3">
      <c r="A35" t="s">
        <v>91</v>
      </c>
      <c r="B35" s="1">
        <v>46057</v>
      </c>
      <c r="C35" t="s">
        <v>92</v>
      </c>
      <c r="D35" t="s">
        <v>26</v>
      </c>
      <c r="E35" t="s">
        <v>15</v>
      </c>
      <c r="F35" t="s">
        <v>27</v>
      </c>
      <c r="G35" t="s">
        <v>15</v>
      </c>
      <c r="H35" t="s">
        <v>15</v>
      </c>
      <c r="I35" t="s">
        <v>15</v>
      </c>
      <c r="J35" t="s">
        <v>15</v>
      </c>
      <c r="K35" t="s">
        <v>27</v>
      </c>
      <c r="L35" t="s">
        <v>74</v>
      </c>
    </row>
    <row r="36" spans="1:12" x14ac:dyDescent="0.3">
      <c r="A36" t="s">
        <v>93</v>
      </c>
      <c r="B36" s="1">
        <v>46058</v>
      </c>
      <c r="C36" t="s">
        <v>94</v>
      </c>
      <c r="D36" t="s">
        <v>44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16</v>
      </c>
    </row>
    <row r="37" spans="1:12" x14ac:dyDescent="0.3">
      <c r="A37" t="s">
        <v>95</v>
      </c>
      <c r="B37" s="1">
        <v>46059</v>
      </c>
      <c r="C37" t="s">
        <v>96</v>
      </c>
      <c r="D37" t="s">
        <v>26</v>
      </c>
      <c r="E37" t="s">
        <v>15</v>
      </c>
      <c r="F37" t="s">
        <v>27</v>
      </c>
      <c r="G37" t="s">
        <v>15</v>
      </c>
      <c r="H37" t="s">
        <v>15</v>
      </c>
      <c r="I37" t="s">
        <v>15</v>
      </c>
      <c r="J37" t="s">
        <v>15</v>
      </c>
      <c r="K37" t="s">
        <v>27</v>
      </c>
      <c r="L37" t="s">
        <v>28</v>
      </c>
    </row>
    <row r="38" spans="1:12" x14ac:dyDescent="0.3">
      <c r="A38" t="s">
        <v>97</v>
      </c>
      <c r="B38" s="1">
        <v>46060</v>
      </c>
      <c r="C38" t="s">
        <v>98</v>
      </c>
      <c r="D38" t="s">
        <v>34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16</v>
      </c>
    </row>
    <row r="39" spans="1:12" x14ac:dyDescent="0.3">
      <c r="A39" t="s">
        <v>99</v>
      </c>
      <c r="B39" s="1">
        <v>46061</v>
      </c>
      <c r="C39" t="s">
        <v>100</v>
      </c>
      <c r="D39" t="s">
        <v>44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16</v>
      </c>
    </row>
    <row r="40" spans="1:12" x14ac:dyDescent="0.3">
      <c r="A40" t="s">
        <v>101</v>
      </c>
      <c r="B40" s="1">
        <v>46062</v>
      </c>
      <c r="C40" t="s">
        <v>102</v>
      </c>
      <c r="D40" t="s">
        <v>26</v>
      </c>
      <c r="E40" t="s">
        <v>27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27</v>
      </c>
      <c r="L40" t="s">
        <v>74</v>
      </c>
    </row>
    <row r="41" spans="1:12" x14ac:dyDescent="0.3">
      <c r="A41" t="s">
        <v>103</v>
      </c>
      <c r="B41" s="1">
        <v>46063</v>
      </c>
      <c r="C41" t="s">
        <v>104</v>
      </c>
      <c r="D41" t="s">
        <v>14</v>
      </c>
      <c r="E41" t="s">
        <v>15</v>
      </c>
      <c r="F41" t="s">
        <v>27</v>
      </c>
      <c r="G41" t="s">
        <v>15</v>
      </c>
      <c r="H41" t="s">
        <v>15</v>
      </c>
      <c r="I41" t="s">
        <v>15</v>
      </c>
      <c r="J41" t="s">
        <v>15</v>
      </c>
      <c r="K41" t="s">
        <v>27</v>
      </c>
      <c r="L41" t="s">
        <v>74</v>
      </c>
    </row>
    <row r="42" spans="1:12" x14ac:dyDescent="0.3">
      <c r="A42" t="s">
        <v>105</v>
      </c>
      <c r="B42" s="1">
        <v>46064</v>
      </c>
      <c r="C42" t="s">
        <v>106</v>
      </c>
      <c r="D42" t="s">
        <v>44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27</v>
      </c>
      <c r="K42" t="s">
        <v>27</v>
      </c>
      <c r="L42" t="s">
        <v>28</v>
      </c>
    </row>
    <row r="43" spans="1:12" x14ac:dyDescent="0.3">
      <c r="A43" t="s">
        <v>107</v>
      </c>
      <c r="B43" s="1">
        <v>46065</v>
      </c>
      <c r="C43" t="s">
        <v>108</v>
      </c>
      <c r="D43" t="s">
        <v>21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16</v>
      </c>
    </row>
    <row r="44" spans="1:12" x14ac:dyDescent="0.3">
      <c r="A44" t="s">
        <v>109</v>
      </c>
      <c r="B44" s="1">
        <v>46066</v>
      </c>
      <c r="C44" t="s">
        <v>110</v>
      </c>
      <c r="D44" t="s">
        <v>44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16</v>
      </c>
    </row>
    <row r="45" spans="1:12" x14ac:dyDescent="0.3">
      <c r="A45" t="s">
        <v>111</v>
      </c>
      <c r="B45" s="1">
        <v>46067</v>
      </c>
      <c r="C45" t="s">
        <v>112</v>
      </c>
      <c r="D45" t="s">
        <v>26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16</v>
      </c>
    </row>
    <row r="46" spans="1:12" x14ac:dyDescent="0.3">
      <c r="A46" t="s">
        <v>113</v>
      </c>
      <c r="B46" s="1">
        <v>46068</v>
      </c>
      <c r="C46" t="s">
        <v>114</v>
      </c>
      <c r="D46" t="s">
        <v>26</v>
      </c>
      <c r="E46" t="s">
        <v>15</v>
      </c>
      <c r="F46" t="s">
        <v>15</v>
      </c>
      <c r="G46" t="s">
        <v>15</v>
      </c>
      <c r="H46" t="s">
        <v>27</v>
      </c>
      <c r="I46" t="s">
        <v>15</v>
      </c>
      <c r="J46" t="s">
        <v>15</v>
      </c>
      <c r="K46" t="s">
        <v>27</v>
      </c>
      <c r="L46" t="s">
        <v>35</v>
      </c>
    </row>
    <row r="47" spans="1:12" x14ac:dyDescent="0.3">
      <c r="A47" t="s">
        <v>115</v>
      </c>
      <c r="B47" s="1">
        <v>46069</v>
      </c>
      <c r="C47" t="s">
        <v>116</v>
      </c>
      <c r="D47" t="s">
        <v>14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16</v>
      </c>
    </row>
    <row r="48" spans="1:12" x14ac:dyDescent="0.3">
      <c r="A48" t="s">
        <v>117</v>
      </c>
      <c r="B48" s="1">
        <v>46070</v>
      </c>
      <c r="C48" t="s">
        <v>118</v>
      </c>
      <c r="D48" t="s">
        <v>44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16</v>
      </c>
    </row>
    <row r="49" spans="1:12" x14ac:dyDescent="0.3">
      <c r="A49" t="s">
        <v>119</v>
      </c>
      <c r="B49" s="1">
        <v>46071</v>
      </c>
      <c r="C49" t="s">
        <v>120</v>
      </c>
      <c r="D49" t="s">
        <v>44</v>
      </c>
      <c r="E49" t="s">
        <v>27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27</v>
      </c>
      <c r="L49" t="s">
        <v>74</v>
      </c>
    </row>
    <row r="50" spans="1:12" x14ac:dyDescent="0.3">
      <c r="A50" t="s">
        <v>121</v>
      </c>
      <c r="B50" s="1">
        <v>46072</v>
      </c>
      <c r="C50" t="s">
        <v>122</v>
      </c>
      <c r="D50" t="s">
        <v>34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16</v>
      </c>
    </row>
    <row r="51" spans="1:12" x14ac:dyDescent="0.3">
      <c r="A51" t="s">
        <v>123</v>
      </c>
      <c r="B51" s="1">
        <v>46073</v>
      </c>
      <c r="C51" t="s">
        <v>124</v>
      </c>
      <c r="D51" t="s">
        <v>34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16</v>
      </c>
    </row>
    <row r="52" spans="1:12" x14ac:dyDescent="0.3">
      <c r="A52" t="s">
        <v>125</v>
      </c>
      <c r="B52" s="1">
        <v>46074</v>
      </c>
      <c r="C52" t="s">
        <v>126</v>
      </c>
      <c r="D52" t="s">
        <v>14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16</v>
      </c>
    </row>
    <row r="53" spans="1:12" x14ac:dyDescent="0.3">
      <c r="A53" t="s">
        <v>127</v>
      </c>
      <c r="B53" s="1">
        <v>46075</v>
      </c>
      <c r="C53" t="s">
        <v>128</v>
      </c>
      <c r="D53" t="s">
        <v>44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16</v>
      </c>
    </row>
    <row r="54" spans="1:12" x14ac:dyDescent="0.3">
      <c r="A54" t="s">
        <v>129</v>
      </c>
      <c r="B54" s="1">
        <v>46076</v>
      </c>
      <c r="C54" t="s">
        <v>130</v>
      </c>
      <c r="D54" t="s">
        <v>14</v>
      </c>
      <c r="E54" t="s">
        <v>15</v>
      </c>
      <c r="F54" t="s">
        <v>15</v>
      </c>
      <c r="G54" t="s">
        <v>15</v>
      </c>
      <c r="H54" t="s">
        <v>15</v>
      </c>
      <c r="I54" t="s">
        <v>27</v>
      </c>
      <c r="J54" t="s">
        <v>15</v>
      </c>
      <c r="K54" t="s">
        <v>27</v>
      </c>
      <c r="L54" t="s">
        <v>74</v>
      </c>
    </row>
    <row r="55" spans="1:12" x14ac:dyDescent="0.3">
      <c r="A55" t="s">
        <v>131</v>
      </c>
      <c r="B55" s="1">
        <v>46077</v>
      </c>
      <c r="C55" t="s">
        <v>132</v>
      </c>
      <c r="D55" t="s">
        <v>21</v>
      </c>
      <c r="E55" t="s">
        <v>15</v>
      </c>
      <c r="F55" t="s">
        <v>15</v>
      </c>
      <c r="G55" t="s">
        <v>15</v>
      </c>
      <c r="H55" t="s">
        <v>15</v>
      </c>
      <c r="I55" t="s">
        <v>27</v>
      </c>
      <c r="J55" t="s">
        <v>15</v>
      </c>
      <c r="K55" t="s">
        <v>27</v>
      </c>
      <c r="L55" t="s">
        <v>28</v>
      </c>
    </row>
    <row r="56" spans="1:12" x14ac:dyDescent="0.3">
      <c r="A56" t="s">
        <v>133</v>
      </c>
      <c r="B56" s="1">
        <v>46078</v>
      </c>
      <c r="C56" t="s">
        <v>134</v>
      </c>
      <c r="D56" t="s">
        <v>44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16</v>
      </c>
    </row>
    <row r="57" spans="1:12" x14ac:dyDescent="0.3">
      <c r="A57" t="s">
        <v>135</v>
      </c>
      <c r="B57" s="1">
        <v>46079</v>
      </c>
      <c r="C57" t="s">
        <v>136</v>
      </c>
      <c r="D57" t="s">
        <v>44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27</v>
      </c>
      <c r="K57" t="s">
        <v>27</v>
      </c>
      <c r="L57" t="s">
        <v>28</v>
      </c>
    </row>
    <row r="58" spans="1:12" x14ac:dyDescent="0.3">
      <c r="A58" t="s">
        <v>137</v>
      </c>
      <c r="B58" s="1">
        <v>46080</v>
      </c>
      <c r="C58" t="s">
        <v>138</v>
      </c>
      <c r="D58" t="s">
        <v>14</v>
      </c>
      <c r="E58" t="s">
        <v>15</v>
      </c>
      <c r="F58" t="s">
        <v>15</v>
      </c>
      <c r="G58" t="s">
        <v>27</v>
      </c>
      <c r="H58" t="s">
        <v>15</v>
      </c>
      <c r="I58" t="s">
        <v>15</v>
      </c>
      <c r="J58" t="s">
        <v>15</v>
      </c>
      <c r="K58" t="s">
        <v>27</v>
      </c>
      <c r="L58" t="s">
        <v>74</v>
      </c>
    </row>
    <row r="59" spans="1:12" x14ac:dyDescent="0.3">
      <c r="A59" t="s">
        <v>139</v>
      </c>
      <c r="B59" s="1">
        <v>46081</v>
      </c>
      <c r="C59" t="s">
        <v>140</v>
      </c>
      <c r="D59" t="s">
        <v>14</v>
      </c>
      <c r="E59" t="s">
        <v>27</v>
      </c>
      <c r="F59" t="s">
        <v>15</v>
      </c>
      <c r="G59" t="s">
        <v>15</v>
      </c>
      <c r="H59" t="s">
        <v>27</v>
      </c>
      <c r="I59" t="s">
        <v>15</v>
      </c>
      <c r="J59" t="s">
        <v>15</v>
      </c>
      <c r="K59" t="s">
        <v>27</v>
      </c>
      <c r="L59" t="s">
        <v>74</v>
      </c>
    </row>
    <row r="60" spans="1:12" x14ac:dyDescent="0.3">
      <c r="A60" t="s">
        <v>141</v>
      </c>
      <c r="B60" s="1">
        <v>46082</v>
      </c>
      <c r="C60" t="s">
        <v>142</v>
      </c>
      <c r="D60" t="s">
        <v>14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16</v>
      </c>
    </row>
    <row r="61" spans="1:12" x14ac:dyDescent="0.3">
      <c r="A61" t="s">
        <v>143</v>
      </c>
      <c r="B61" s="1">
        <v>46083</v>
      </c>
      <c r="C61" t="s">
        <v>144</v>
      </c>
      <c r="D61" t="s">
        <v>44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16</v>
      </c>
    </row>
    <row r="62" spans="1:12" x14ac:dyDescent="0.3">
      <c r="A62" t="s">
        <v>145</v>
      </c>
      <c r="B62" s="1">
        <v>46084</v>
      </c>
      <c r="C62" t="s">
        <v>146</v>
      </c>
      <c r="D62" t="s">
        <v>14</v>
      </c>
      <c r="E62" t="s">
        <v>27</v>
      </c>
      <c r="F62" t="s">
        <v>15</v>
      </c>
      <c r="G62" t="s">
        <v>15</v>
      </c>
      <c r="H62" t="s">
        <v>27</v>
      </c>
      <c r="I62" t="s">
        <v>15</v>
      </c>
      <c r="J62" t="s">
        <v>15</v>
      </c>
      <c r="K62" t="s">
        <v>27</v>
      </c>
      <c r="L62" t="s">
        <v>28</v>
      </c>
    </row>
    <row r="63" spans="1:12" x14ac:dyDescent="0.3">
      <c r="A63" t="s">
        <v>147</v>
      </c>
      <c r="B63" s="1">
        <v>46085</v>
      </c>
      <c r="C63" t="s">
        <v>148</v>
      </c>
      <c r="D63" t="s">
        <v>21</v>
      </c>
      <c r="E63" t="s">
        <v>15</v>
      </c>
      <c r="F63" t="s">
        <v>27</v>
      </c>
      <c r="G63" t="s">
        <v>15</v>
      </c>
      <c r="H63" t="s">
        <v>15</v>
      </c>
      <c r="I63" t="s">
        <v>15</v>
      </c>
      <c r="J63" t="s">
        <v>15</v>
      </c>
      <c r="K63" t="s">
        <v>27</v>
      </c>
      <c r="L63" t="s">
        <v>74</v>
      </c>
    </row>
    <row r="64" spans="1:12" x14ac:dyDescent="0.3">
      <c r="A64" t="s">
        <v>149</v>
      </c>
      <c r="B64" s="1">
        <v>46086</v>
      </c>
      <c r="C64" t="s">
        <v>150</v>
      </c>
      <c r="D64" t="s">
        <v>21</v>
      </c>
      <c r="E64" t="s">
        <v>15</v>
      </c>
      <c r="F64" t="s">
        <v>27</v>
      </c>
      <c r="G64" t="s">
        <v>15</v>
      </c>
      <c r="H64" t="s">
        <v>15</v>
      </c>
      <c r="I64" t="s">
        <v>15</v>
      </c>
      <c r="J64" t="s">
        <v>15</v>
      </c>
      <c r="K64" t="s">
        <v>27</v>
      </c>
      <c r="L64" t="s">
        <v>74</v>
      </c>
    </row>
    <row r="65" spans="1:12" x14ac:dyDescent="0.3">
      <c r="A65" t="s">
        <v>151</v>
      </c>
      <c r="B65" s="1">
        <v>46087</v>
      </c>
      <c r="C65" t="s">
        <v>152</v>
      </c>
      <c r="D65" t="s">
        <v>14</v>
      </c>
      <c r="E65" t="s">
        <v>15</v>
      </c>
      <c r="F65" t="s">
        <v>27</v>
      </c>
      <c r="G65" t="s">
        <v>27</v>
      </c>
      <c r="H65" t="s">
        <v>15</v>
      </c>
      <c r="I65" t="s">
        <v>15</v>
      </c>
      <c r="J65" t="s">
        <v>15</v>
      </c>
      <c r="K65" t="s">
        <v>27</v>
      </c>
      <c r="L65" t="s">
        <v>28</v>
      </c>
    </row>
    <row r="66" spans="1:12" x14ac:dyDescent="0.3">
      <c r="A66" t="s">
        <v>153</v>
      </c>
      <c r="B66" s="1">
        <v>46088</v>
      </c>
      <c r="C66" t="s">
        <v>154</v>
      </c>
      <c r="D66" t="s">
        <v>34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27</v>
      </c>
      <c r="K66" t="s">
        <v>27</v>
      </c>
      <c r="L66" t="s">
        <v>31</v>
      </c>
    </row>
    <row r="67" spans="1:12" x14ac:dyDescent="0.3">
      <c r="A67" t="s">
        <v>155</v>
      </c>
      <c r="B67" s="1">
        <v>46089</v>
      </c>
      <c r="C67" t="s">
        <v>156</v>
      </c>
      <c r="D67" t="s">
        <v>21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16</v>
      </c>
    </row>
    <row r="68" spans="1:12" x14ac:dyDescent="0.3">
      <c r="A68" t="s">
        <v>157</v>
      </c>
      <c r="B68" s="1">
        <v>46090</v>
      </c>
      <c r="C68" t="s">
        <v>158</v>
      </c>
      <c r="D68" t="s">
        <v>14</v>
      </c>
      <c r="E68" t="s">
        <v>27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27</v>
      </c>
      <c r="L68" t="s">
        <v>31</v>
      </c>
    </row>
    <row r="69" spans="1:12" x14ac:dyDescent="0.3">
      <c r="A69" t="s">
        <v>159</v>
      </c>
      <c r="B69" s="1">
        <v>46091</v>
      </c>
      <c r="C69" t="s">
        <v>160</v>
      </c>
      <c r="D69" t="s">
        <v>21</v>
      </c>
      <c r="E69" t="s">
        <v>15</v>
      </c>
      <c r="F69" t="s">
        <v>15</v>
      </c>
      <c r="G69" t="s">
        <v>27</v>
      </c>
      <c r="H69" t="s">
        <v>15</v>
      </c>
      <c r="I69" t="s">
        <v>27</v>
      </c>
      <c r="J69" t="s">
        <v>15</v>
      </c>
      <c r="K69" t="s">
        <v>27</v>
      </c>
      <c r="L69" t="s">
        <v>31</v>
      </c>
    </row>
    <row r="70" spans="1:12" x14ac:dyDescent="0.3">
      <c r="A70" t="s">
        <v>161</v>
      </c>
      <c r="B70" s="1">
        <v>46092</v>
      </c>
      <c r="C70" t="s">
        <v>162</v>
      </c>
      <c r="D70" t="s">
        <v>34</v>
      </c>
      <c r="E70" t="s">
        <v>27</v>
      </c>
      <c r="F70" t="s">
        <v>15</v>
      </c>
      <c r="G70" t="s">
        <v>27</v>
      </c>
      <c r="H70" t="s">
        <v>15</v>
      </c>
      <c r="I70" t="s">
        <v>15</v>
      </c>
      <c r="J70" t="s">
        <v>15</v>
      </c>
      <c r="K70" t="s">
        <v>27</v>
      </c>
      <c r="L70" t="s">
        <v>74</v>
      </c>
    </row>
    <row r="71" spans="1:12" x14ac:dyDescent="0.3">
      <c r="A71" t="s">
        <v>163</v>
      </c>
      <c r="B71" s="1">
        <v>46093</v>
      </c>
      <c r="C71" t="s">
        <v>164</v>
      </c>
      <c r="D71" t="s">
        <v>44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27</v>
      </c>
      <c r="K71" t="s">
        <v>27</v>
      </c>
      <c r="L71" t="s">
        <v>51</v>
      </c>
    </row>
    <row r="72" spans="1:12" x14ac:dyDescent="0.3">
      <c r="A72" t="s">
        <v>165</v>
      </c>
      <c r="B72" s="1">
        <v>46094</v>
      </c>
      <c r="C72" t="s">
        <v>166</v>
      </c>
      <c r="D72" t="s">
        <v>21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16</v>
      </c>
    </row>
    <row r="73" spans="1:12" x14ac:dyDescent="0.3">
      <c r="A73" t="s">
        <v>167</v>
      </c>
      <c r="B73" s="1">
        <v>46095</v>
      </c>
      <c r="C73" t="s">
        <v>168</v>
      </c>
      <c r="D73" t="s">
        <v>44</v>
      </c>
      <c r="E73" t="s">
        <v>27</v>
      </c>
      <c r="F73" t="s">
        <v>15</v>
      </c>
      <c r="G73" t="s">
        <v>27</v>
      </c>
      <c r="H73" t="s">
        <v>27</v>
      </c>
      <c r="I73" t="s">
        <v>15</v>
      </c>
      <c r="J73" t="s">
        <v>15</v>
      </c>
      <c r="K73" t="s">
        <v>27</v>
      </c>
      <c r="L73" t="s">
        <v>28</v>
      </c>
    </row>
    <row r="74" spans="1:12" x14ac:dyDescent="0.3">
      <c r="A74" t="s">
        <v>169</v>
      </c>
      <c r="B74" s="1">
        <v>46096</v>
      </c>
      <c r="C74" t="s">
        <v>170</v>
      </c>
      <c r="D74" t="s">
        <v>14</v>
      </c>
      <c r="E74" t="s">
        <v>27</v>
      </c>
      <c r="F74" t="s">
        <v>27</v>
      </c>
      <c r="G74" t="s">
        <v>15</v>
      </c>
      <c r="H74" t="s">
        <v>15</v>
      </c>
      <c r="I74" t="s">
        <v>15</v>
      </c>
      <c r="J74" t="s">
        <v>15</v>
      </c>
      <c r="K74" t="s">
        <v>27</v>
      </c>
      <c r="L74" t="s">
        <v>51</v>
      </c>
    </row>
    <row r="75" spans="1:12" x14ac:dyDescent="0.3">
      <c r="A75" t="s">
        <v>171</v>
      </c>
      <c r="B75" s="1">
        <v>46097</v>
      </c>
      <c r="C75" t="s">
        <v>172</v>
      </c>
      <c r="D75" t="s">
        <v>44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16</v>
      </c>
    </row>
    <row r="76" spans="1:12" x14ac:dyDescent="0.3">
      <c r="A76" t="s">
        <v>173</v>
      </c>
      <c r="B76" s="1">
        <v>46098</v>
      </c>
      <c r="C76" t="s">
        <v>174</v>
      </c>
      <c r="D76" t="s">
        <v>34</v>
      </c>
      <c r="E76" t="s">
        <v>15</v>
      </c>
      <c r="F76" t="s">
        <v>27</v>
      </c>
      <c r="G76" t="s">
        <v>15</v>
      </c>
      <c r="H76" t="s">
        <v>15</v>
      </c>
      <c r="I76" t="s">
        <v>15</v>
      </c>
      <c r="J76" t="s">
        <v>15</v>
      </c>
      <c r="K76" t="s">
        <v>27</v>
      </c>
      <c r="L76" t="s">
        <v>28</v>
      </c>
    </row>
    <row r="77" spans="1:12" x14ac:dyDescent="0.3">
      <c r="A77" t="s">
        <v>175</v>
      </c>
      <c r="B77" s="1">
        <v>46099</v>
      </c>
      <c r="C77" t="s">
        <v>176</v>
      </c>
      <c r="D77" t="s">
        <v>44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27</v>
      </c>
      <c r="K77" t="s">
        <v>27</v>
      </c>
      <c r="L77" t="s">
        <v>74</v>
      </c>
    </row>
    <row r="78" spans="1:12" x14ac:dyDescent="0.3">
      <c r="A78" t="s">
        <v>177</v>
      </c>
      <c r="B78" s="1">
        <v>46100</v>
      </c>
      <c r="C78" t="s">
        <v>178</v>
      </c>
      <c r="D78" t="s">
        <v>14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16</v>
      </c>
    </row>
    <row r="79" spans="1:12" x14ac:dyDescent="0.3">
      <c r="A79" t="s">
        <v>179</v>
      </c>
      <c r="B79" s="1">
        <v>46101</v>
      </c>
      <c r="C79" t="s">
        <v>180</v>
      </c>
      <c r="D79" t="s">
        <v>34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16</v>
      </c>
    </row>
    <row r="80" spans="1:12" x14ac:dyDescent="0.3">
      <c r="A80" t="s">
        <v>181</v>
      </c>
      <c r="B80" s="1">
        <v>46102</v>
      </c>
      <c r="C80" t="s">
        <v>182</v>
      </c>
      <c r="D80" t="s">
        <v>34</v>
      </c>
      <c r="E80" t="s">
        <v>27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27</v>
      </c>
      <c r="L80" t="s">
        <v>35</v>
      </c>
    </row>
    <row r="81" spans="1:12" x14ac:dyDescent="0.3">
      <c r="A81" t="s">
        <v>183</v>
      </c>
      <c r="B81" s="1">
        <v>46103</v>
      </c>
      <c r="C81" t="s">
        <v>184</v>
      </c>
      <c r="D81" t="s">
        <v>34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16</v>
      </c>
    </row>
    <row r="82" spans="1:12" x14ac:dyDescent="0.3">
      <c r="A82" t="s">
        <v>185</v>
      </c>
      <c r="B82" s="1">
        <v>46104</v>
      </c>
      <c r="C82" t="s">
        <v>186</v>
      </c>
      <c r="D82" t="s">
        <v>44</v>
      </c>
      <c r="E82" t="s">
        <v>27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27</v>
      </c>
      <c r="L82" t="s">
        <v>31</v>
      </c>
    </row>
    <row r="83" spans="1:12" x14ac:dyDescent="0.3">
      <c r="A83" t="s">
        <v>187</v>
      </c>
      <c r="B83" s="1">
        <v>46105</v>
      </c>
      <c r="C83" t="s">
        <v>188</v>
      </c>
      <c r="D83" t="s">
        <v>21</v>
      </c>
      <c r="E83" t="s">
        <v>15</v>
      </c>
      <c r="F83" t="s">
        <v>15</v>
      </c>
      <c r="G83" t="s">
        <v>27</v>
      </c>
      <c r="H83" t="s">
        <v>15</v>
      </c>
      <c r="I83" t="s">
        <v>15</v>
      </c>
      <c r="J83" t="s">
        <v>27</v>
      </c>
      <c r="K83" t="s">
        <v>27</v>
      </c>
      <c r="L83" t="s">
        <v>74</v>
      </c>
    </row>
    <row r="84" spans="1:12" x14ac:dyDescent="0.3">
      <c r="A84" t="s">
        <v>189</v>
      </c>
      <c r="B84" s="1">
        <v>46106</v>
      </c>
      <c r="C84" t="s">
        <v>190</v>
      </c>
      <c r="D84" t="s">
        <v>44</v>
      </c>
      <c r="E84" t="s">
        <v>15</v>
      </c>
      <c r="F84" t="s">
        <v>27</v>
      </c>
      <c r="G84" t="s">
        <v>15</v>
      </c>
      <c r="H84" t="s">
        <v>15</v>
      </c>
      <c r="I84" t="s">
        <v>27</v>
      </c>
      <c r="J84" t="s">
        <v>15</v>
      </c>
      <c r="K84" t="s">
        <v>27</v>
      </c>
      <c r="L84" t="s">
        <v>31</v>
      </c>
    </row>
    <row r="85" spans="1:12" x14ac:dyDescent="0.3">
      <c r="A85" t="s">
        <v>191</v>
      </c>
      <c r="B85" s="1">
        <v>46107</v>
      </c>
      <c r="C85" t="s">
        <v>192</v>
      </c>
      <c r="D85" t="s">
        <v>34</v>
      </c>
      <c r="E85" t="s">
        <v>15</v>
      </c>
      <c r="F85" t="s">
        <v>15</v>
      </c>
      <c r="G85" t="s">
        <v>15</v>
      </c>
      <c r="H85" t="s">
        <v>15</v>
      </c>
      <c r="I85" t="s">
        <v>27</v>
      </c>
      <c r="J85" t="s">
        <v>15</v>
      </c>
      <c r="K85" t="s">
        <v>27</v>
      </c>
      <c r="L85" t="s">
        <v>28</v>
      </c>
    </row>
    <row r="86" spans="1:12" x14ac:dyDescent="0.3">
      <c r="A86" t="s">
        <v>193</v>
      </c>
      <c r="B86" s="1">
        <v>46108</v>
      </c>
      <c r="C86" t="s">
        <v>194</v>
      </c>
      <c r="D86" t="s">
        <v>44</v>
      </c>
      <c r="E86" t="s">
        <v>27</v>
      </c>
      <c r="F86" t="s">
        <v>15</v>
      </c>
      <c r="G86" t="s">
        <v>15</v>
      </c>
      <c r="H86" t="s">
        <v>15</v>
      </c>
      <c r="I86" t="s">
        <v>15</v>
      </c>
      <c r="J86" t="s">
        <v>27</v>
      </c>
      <c r="K86" t="s">
        <v>27</v>
      </c>
      <c r="L86" t="s">
        <v>51</v>
      </c>
    </row>
    <row r="87" spans="1:12" x14ac:dyDescent="0.3">
      <c r="A87" t="s">
        <v>195</v>
      </c>
      <c r="B87" s="1">
        <v>46109</v>
      </c>
      <c r="C87" t="s">
        <v>196</v>
      </c>
      <c r="D87" t="s">
        <v>26</v>
      </c>
      <c r="E87" t="s">
        <v>27</v>
      </c>
      <c r="F87" t="s">
        <v>27</v>
      </c>
      <c r="G87" t="s">
        <v>15</v>
      </c>
      <c r="H87" t="s">
        <v>15</v>
      </c>
      <c r="I87" t="s">
        <v>15</v>
      </c>
      <c r="J87" t="s">
        <v>15</v>
      </c>
      <c r="K87" t="s">
        <v>27</v>
      </c>
      <c r="L87" t="s">
        <v>28</v>
      </c>
    </row>
    <row r="88" spans="1:12" x14ac:dyDescent="0.3">
      <c r="A88" t="s">
        <v>197</v>
      </c>
      <c r="B88" s="1">
        <v>46110</v>
      </c>
      <c r="C88" t="s">
        <v>198</v>
      </c>
      <c r="D88" t="s">
        <v>34</v>
      </c>
      <c r="E88" t="s">
        <v>27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27</v>
      </c>
      <c r="L88" t="s">
        <v>74</v>
      </c>
    </row>
    <row r="89" spans="1:12" x14ac:dyDescent="0.3">
      <c r="A89" t="s">
        <v>199</v>
      </c>
      <c r="B89" s="1">
        <v>46111</v>
      </c>
      <c r="C89" t="s">
        <v>200</v>
      </c>
      <c r="D89" t="s">
        <v>26</v>
      </c>
      <c r="E89" t="s">
        <v>15</v>
      </c>
      <c r="F89" t="s">
        <v>15</v>
      </c>
      <c r="G89" t="s">
        <v>27</v>
      </c>
      <c r="H89" t="s">
        <v>15</v>
      </c>
      <c r="I89" t="s">
        <v>15</v>
      </c>
      <c r="J89" t="s">
        <v>27</v>
      </c>
      <c r="K89" t="s">
        <v>27</v>
      </c>
      <c r="L89" t="s">
        <v>35</v>
      </c>
    </row>
    <row r="90" spans="1:12" x14ac:dyDescent="0.3">
      <c r="A90" t="s">
        <v>201</v>
      </c>
      <c r="B90" s="1">
        <v>46112</v>
      </c>
      <c r="C90" t="s">
        <v>202</v>
      </c>
      <c r="D90" t="s">
        <v>34</v>
      </c>
      <c r="E90" t="s">
        <v>15</v>
      </c>
      <c r="F90" t="s">
        <v>15</v>
      </c>
      <c r="G90" t="s">
        <v>15</v>
      </c>
      <c r="H90" t="s">
        <v>27</v>
      </c>
      <c r="I90" t="s">
        <v>15</v>
      </c>
      <c r="J90" t="s">
        <v>15</v>
      </c>
      <c r="K90" t="s">
        <v>27</v>
      </c>
      <c r="L90" t="s">
        <v>51</v>
      </c>
    </row>
    <row r="91" spans="1:12" x14ac:dyDescent="0.3">
      <c r="A91" t="s">
        <v>203</v>
      </c>
      <c r="B91" s="1">
        <v>46113</v>
      </c>
      <c r="C91" t="s">
        <v>204</v>
      </c>
      <c r="D91" t="s">
        <v>26</v>
      </c>
      <c r="E91" t="s">
        <v>27</v>
      </c>
      <c r="F91" t="s">
        <v>15</v>
      </c>
      <c r="G91" t="s">
        <v>15</v>
      </c>
      <c r="H91" t="s">
        <v>27</v>
      </c>
      <c r="I91" t="s">
        <v>27</v>
      </c>
      <c r="J91" t="s">
        <v>27</v>
      </c>
      <c r="K91" t="s">
        <v>27</v>
      </c>
      <c r="L91" t="s">
        <v>28</v>
      </c>
    </row>
    <row r="92" spans="1:12" x14ac:dyDescent="0.3">
      <c r="A92" t="s">
        <v>205</v>
      </c>
      <c r="B92" s="1">
        <v>46114</v>
      </c>
      <c r="C92" t="s">
        <v>206</v>
      </c>
      <c r="D92" t="s">
        <v>26</v>
      </c>
      <c r="E92" t="s">
        <v>27</v>
      </c>
      <c r="F92" t="s">
        <v>27</v>
      </c>
      <c r="G92" t="s">
        <v>27</v>
      </c>
      <c r="H92" t="s">
        <v>15</v>
      </c>
      <c r="I92" t="s">
        <v>15</v>
      </c>
      <c r="J92" t="s">
        <v>27</v>
      </c>
      <c r="K92" t="s">
        <v>27</v>
      </c>
      <c r="L92" t="s">
        <v>35</v>
      </c>
    </row>
    <row r="93" spans="1:12" x14ac:dyDescent="0.3">
      <c r="A93" t="s">
        <v>207</v>
      </c>
      <c r="B93" s="1">
        <v>46115</v>
      </c>
      <c r="C93" t="s">
        <v>208</v>
      </c>
      <c r="D93" t="s">
        <v>34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27</v>
      </c>
      <c r="K93" t="s">
        <v>27</v>
      </c>
      <c r="L93" t="s">
        <v>51</v>
      </c>
    </row>
    <row r="94" spans="1:12" x14ac:dyDescent="0.3">
      <c r="A94" t="s">
        <v>209</v>
      </c>
      <c r="B94" s="1">
        <v>46116</v>
      </c>
      <c r="C94" t="s">
        <v>210</v>
      </c>
      <c r="D94" t="s">
        <v>34</v>
      </c>
      <c r="E94" t="s">
        <v>15</v>
      </c>
      <c r="F94" t="s">
        <v>15</v>
      </c>
      <c r="G94" t="s">
        <v>15</v>
      </c>
      <c r="H94" t="s">
        <v>27</v>
      </c>
      <c r="I94" t="s">
        <v>15</v>
      </c>
      <c r="J94" t="s">
        <v>15</v>
      </c>
      <c r="K94" t="s">
        <v>27</v>
      </c>
      <c r="L94" t="s">
        <v>35</v>
      </c>
    </row>
    <row r="95" spans="1:12" x14ac:dyDescent="0.3">
      <c r="A95" t="s">
        <v>211</v>
      </c>
      <c r="B95" s="1">
        <v>46117</v>
      </c>
      <c r="C95" t="s">
        <v>212</v>
      </c>
      <c r="D95" t="s">
        <v>14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27</v>
      </c>
      <c r="K95" t="s">
        <v>27</v>
      </c>
      <c r="L95" t="s">
        <v>74</v>
      </c>
    </row>
    <row r="96" spans="1:12" x14ac:dyDescent="0.3">
      <c r="A96" t="s">
        <v>213</v>
      </c>
      <c r="B96" s="1">
        <v>46118</v>
      </c>
      <c r="C96" t="s">
        <v>214</v>
      </c>
      <c r="D96" t="s">
        <v>21</v>
      </c>
      <c r="E96" t="s">
        <v>15</v>
      </c>
      <c r="F96" t="s">
        <v>15</v>
      </c>
      <c r="G96" t="s">
        <v>27</v>
      </c>
      <c r="H96" t="s">
        <v>15</v>
      </c>
      <c r="I96" t="s">
        <v>15</v>
      </c>
      <c r="J96" t="s">
        <v>15</v>
      </c>
      <c r="K96" t="s">
        <v>27</v>
      </c>
      <c r="L96" t="s">
        <v>35</v>
      </c>
    </row>
    <row r="97" spans="1:12" x14ac:dyDescent="0.3">
      <c r="A97" t="s">
        <v>215</v>
      </c>
      <c r="B97" s="1">
        <v>46119</v>
      </c>
      <c r="C97" t="s">
        <v>216</v>
      </c>
      <c r="D97" t="s">
        <v>21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27</v>
      </c>
      <c r="K97" t="s">
        <v>27</v>
      </c>
      <c r="L97" t="s">
        <v>31</v>
      </c>
    </row>
    <row r="98" spans="1:12" x14ac:dyDescent="0.3">
      <c r="A98" t="s">
        <v>217</v>
      </c>
      <c r="B98" s="1">
        <v>46120</v>
      </c>
      <c r="C98" t="s">
        <v>218</v>
      </c>
      <c r="D98" t="s">
        <v>34</v>
      </c>
      <c r="E98" t="s">
        <v>15</v>
      </c>
      <c r="F98" t="s">
        <v>27</v>
      </c>
      <c r="G98" t="s">
        <v>27</v>
      </c>
      <c r="H98" t="s">
        <v>15</v>
      </c>
      <c r="I98" t="s">
        <v>15</v>
      </c>
      <c r="J98" t="s">
        <v>27</v>
      </c>
      <c r="K98" t="s">
        <v>27</v>
      </c>
      <c r="L98" t="s">
        <v>51</v>
      </c>
    </row>
    <row r="99" spans="1:12" x14ac:dyDescent="0.3">
      <c r="A99" t="s">
        <v>219</v>
      </c>
      <c r="B99" s="1">
        <v>46121</v>
      </c>
      <c r="C99" t="s">
        <v>220</v>
      </c>
      <c r="D99" t="s">
        <v>26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16</v>
      </c>
    </row>
    <row r="100" spans="1:12" x14ac:dyDescent="0.3">
      <c r="A100" t="s">
        <v>221</v>
      </c>
      <c r="B100" s="1">
        <v>46122</v>
      </c>
      <c r="C100" t="s">
        <v>222</v>
      </c>
      <c r="D100" t="s">
        <v>26</v>
      </c>
      <c r="E100" t="s">
        <v>27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27</v>
      </c>
      <c r="L100" t="s">
        <v>74</v>
      </c>
    </row>
    <row r="101" spans="1:12" x14ac:dyDescent="0.3">
      <c r="A101" t="s">
        <v>223</v>
      </c>
      <c r="B101" s="1">
        <v>46123</v>
      </c>
      <c r="C101" t="s">
        <v>224</v>
      </c>
      <c r="D101" t="s">
        <v>21</v>
      </c>
      <c r="E101" t="s">
        <v>15</v>
      </c>
      <c r="F101" t="s">
        <v>15</v>
      </c>
      <c r="G101" t="s">
        <v>15</v>
      </c>
      <c r="H101" t="s">
        <v>27</v>
      </c>
      <c r="I101" t="s">
        <v>15</v>
      </c>
      <c r="J101" t="s">
        <v>15</v>
      </c>
      <c r="K101" t="s">
        <v>27</v>
      </c>
      <c r="L101" t="s">
        <v>51</v>
      </c>
    </row>
    <row r="102" spans="1:12" x14ac:dyDescent="0.3">
      <c r="A102" t="s">
        <v>225</v>
      </c>
      <c r="B102" s="1">
        <v>46124</v>
      </c>
      <c r="C102" t="s">
        <v>226</v>
      </c>
      <c r="D102" t="s">
        <v>34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16</v>
      </c>
    </row>
    <row r="103" spans="1:12" x14ac:dyDescent="0.3">
      <c r="A103" t="s">
        <v>227</v>
      </c>
      <c r="B103" s="1">
        <v>46125</v>
      </c>
      <c r="C103" t="s">
        <v>228</v>
      </c>
      <c r="D103" t="s">
        <v>26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27</v>
      </c>
      <c r="K103" t="s">
        <v>27</v>
      </c>
      <c r="L103" t="s">
        <v>74</v>
      </c>
    </row>
    <row r="104" spans="1:12" x14ac:dyDescent="0.3">
      <c r="A104" t="s">
        <v>229</v>
      </c>
      <c r="B104" s="1">
        <v>46126</v>
      </c>
      <c r="C104" t="s">
        <v>230</v>
      </c>
      <c r="D104" t="s">
        <v>44</v>
      </c>
      <c r="E104" t="s">
        <v>15</v>
      </c>
      <c r="F104" t="s">
        <v>15</v>
      </c>
      <c r="G104" t="s">
        <v>15</v>
      </c>
      <c r="H104" t="s">
        <v>15</v>
      </c>
      <c r="I104" t="s">
        <v>27</v>
      </c>
      <c r="J104" t="s">
        <v>15</v>
      </c>
      <c r="K104" t="s">
        <v>27</v>
      </c>
      <c r="L104" t="s">
        <v>31</v>
      </c>
    </row>
    <row r="105" spans="1:12" x14ac:dyDescent="0.3">
      <c r="A105" t="s">
        <v>231</v>
      </c>
      <c r="B105" s="1">
        <v>46127</v>
      </c>
      <c r="C105" t="s">
        <v>232</v>
      </c>
      <c r="D105" t="s">
        <v>44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27</v>
      </c>
      <c r="K105" t="s">
        <v>27</v>
      </c>
      <c r="L105" t="s">
        <v>35</v>
      </c>
    </row>
    <row r="106" spans="1:12" x14ac:dyDescent="0.3">
      <c r="A106" t="s">
        <v>233</v>
      </c>
      <c r="B106" s="1">
        <v>46128</v>
      </c>
      <c r="C106" t="s">
        <v>234</v>
      </c>
      <c r="D106" t="s">
        <v>26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16</v>
      </c>
    </row>
    <row r="107" spans="1:12" x14ac:dyDescent="0.3">
      <c r="A107" t="s">
        <v>235</v>
      </c>
      <c r="B107" s="1">
        <v>46129</v>
      </c>
      <c r="C107" t="s">
        <v>236</v>
      </c>
      <c r="D107" t="s">
        <v>44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16</v>
      </c>
    </row>
    <row r="108" spans="1:12" x14ac:dyDescent="0.3">
      <c r="A108" t="s">
        <v>237</v>
      </c>
      <c r="B108" s="1">
        <v>46130</v>
      </c>
      <c r="C108" t="s">
        <v>238</v>
      </c>
      <c r="D108" t="s">
        <v>34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16</v>
      </c>
    </row>
    <row r="109" spans="1:12" x14ac:dyDescent="0.3">
      <c r="A109" t="s">
        <v>239</v>
      </c>
      <c r="B109" s="1">
        <v>46131</v>
      </c>
      <c r="C109" t="s">
        <v>240</v>
      </c>
      <c r="D109" t="s">
        <v>26</v>
      </c>
      <c r="E109" t="s">
        <v>27</v>
      </c>
      <c r="F109" t="s">
        <v>27</v>
      </c>
      <c r="G109" t="s">
        <v>27</v>
      </c>
      <c r="H109" t="s">
        <v>15</v>
      </c>
      <c r="I109" t="s">
        <v>15</v>
      </c>
      <c r="J109" t="s">
        <v>15</v>
      </c>
      <c r="K109" t="s">
        <v>27</v>
      </c>
      <c r="L109" t="s">
        <v>74</v>
      </c>
    </row>
    <row r="110" spans="1:12" x14ac:dyDescent="0.3">
      <c r="A110" t="s">
        <v>241</v>
      </c>
      <c r="B110" s="1">
        <v>46132</v>
      </c>
      <c r="C110" t="s">
        <v>242</v>
      </c>
      <c r="D110" t="s">
        <v>14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16</v>
      </c>
    </row>
    <row r="111" spans="1:12" x14ac:dyDescent="0.3">
      <c r="A111" t="s">
        <v>243</v>
      </c>
      <c r="B111" s="1">
        <v>46133</v>
      </c>
      <c r="C111" t="s">
        <v>244</v>
      </c>
      <c r="D111" t="s">
        <v>21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16</v>
      </c>
    </row>
    <row r="112" spans="1:12" x14ac:dyDescent="0.3">
      <c r="A112" t="s">
        <v>245</v>
      </c>
      <c r="B112" s="1">
        <v>46134</v>
      </c>
      <c r="C112" t="s">
        <v>246</v>
      </c>
      <c r="D112" t="s">
        <v>21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16</v>
      </c>
    </row>
    <row r="113" spans="1:12" x14ac:dyDescent="0.3">
      <c r="A113" t="s">
        <v>247</v>
      </c>
      <c r="B113" s="1">
        <v>46135</v>
      </c>
      <c r="C113" t="s">
        <v>248</v>
      </c>
      <c r="D113" t="s">
        <v>21</v>
      </c>
      <c r="E113" t="s">
        <v>15</v>
      </c>
      <c r="F113" t="s">
        <v>15</v>
      </c>
      <c r="G113" t="s">
        <v>27</v>
      </c>
      <c r="H113" t="s">
        <v>27</v>
      </c>
      <c r="I113" t="s">
        <v>15</v>
      </c>
      <c r="J113" t="s">
        <v>27</v>
      </c>
      <c r="K113" t="s">
        <v>27</v>
      </c>
      <c r="L113" t="s">
        <v>28</v>
      </c>
    </row>
    <row r="114" spans="1:12" x14ac:dyDescent="0.3">
      <c r="A114" t="s">
        <v>249</v>
      </c>
      <c r="B114" s="1">
        <v>46136</v>
      </c>
      <c r="C114" t="s">
        <v>250</v>
      </c>
      <c r="D114" t="s">
        <v>34</v>
      </c>
      <c r="E114" t="s">
        <v>27</v>
      </c>
      <c r="F114" t="s">
        <v>15</v>
      </c>
      <c r="G114" t="s">
        <v>27</v>
      </c>
      <c r="H114" t="s">
        <v>15</v>
      </c>
      <c r="I114" t="s">
        <v>15</v>
      </c>
      <c r="J114" t="s">
        <v>15</v>
      </c>
      <c r="K114" t="s">
        <v>27</v>
      </c>
      <c r="L114" t="s">
        <v>35</v>
      </c>
    </row>
    <row r="115" spans="1:12" x14ac:dyDescent="0.3">
      <c r="A115" t="s">
        <v>251</v>
      </c>
      <c r="B115" s="1">
        <v>46137</v>
      </c>
      <c r="C115" t="s">
        <v>252</v>
      </c>
      <c r="D115" t="s">
        <v>14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16</v>
      </c>
    </row>
    <row r="116" spans="1:12" x14ac:dyDescent="0.3">
      <c r="A116" t="s">
        <v>253</v>
      </c>
      <c r="B116" s="1">
        <v>46138</v>
      </c>
      <c r="C116" t="s">
        <v>254</v>
      </c>
      <c r="D116" t="s">
        <v>14</v>
      </c>
      <c r="E116" t="s">
        <v>27</v>
      </c>
      <c r="F116" t="s">
        <v>15</v>
      </c>
      <c r="G116" t="s">
        <v>15</v>
      </c>
      <c r="H116" t="s">
        <v>15</v>
      </c>
      <c r="I116" t="s">
        <v>15</v>
      </c>
      <c r="J116" t="s">
        <v>27</v>
      </c>
      <c r="K116" t="s">
        <v>27</v>
      </c>
      <c r="L116" t="s">
        <v>35</v>
      </c>
    </row>
    <row r="117" spans="1:12" x14ac:dyDescent="0.3">
      <c r="A117" t="s">
        <v>255</v>
      </c>
      <c r="B117" s="1">
        <v>46139</v>
      </c>
      <c r="C117" t="s">
        <v>256</v>
      </c>
      <c r="D117" t="s">
        <v>34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16</v>
      </c>
    </row>
    <row r="118" spans="1:12" x14ac:dyDescent="0.3">
      <c r="A118" t="s">
        <v>257</v>
      </c>
      <c r="B118" s="1">
        <v>46140</v>
      </c>
      <c r="C118" t="s">
        <v>258</v>
      </c>
      <c r="D118" t="s">
        <v>21</v>
      </c>
      <c r="E118" t="s">
        <v>15</v>
      </c>
      <c r="F118" t="s">
        <v>15</v>
      </c>
      <c r="G118" t="s">
        <v>15</v>
      </c>
      <c r="H118" t="s">
        <v>15</v>
      </c>
      <c r="I118" t="s">
        <v>27</v>
      </c>
      <c r="J118" t="s">
        <v>15</v>
      </c>
      <c r="K118" t="s">
        <v>27</v>
      </c>
      <c r="L118" t="s">
        <v>31</v>
      </c>
    </row>
    <row r="119" spans="1:12" x14ac:dyDescent="0.3">
      <c r="A119" t="s">
        <v>259</v>
      </c>
      <c r="B119" s="1">
        <v>46141</v>
      </c>
      <c r="C119" t="s">
        <v>260</v>
      </c>
      <c r="D119" t="s">
        <v>44</v>
      </c>
      <c r="E119" t="s">
        <v>15</v>
      </c>
      <c r="F119" t="s">
        <v>15</v>
      </c>
      <c r="G119" t="s">
        <v>15</v>
      </c>
      <c r="H119" t="s">
        <v>15</v>
      </c>
      <c r="I119" t="s">
        <v>27</v>
      </c>
      <c r="J119" t="s">
        <v>15</v>
      </c>
      <c r="K119" t="s">
        <v>27</v>
      </c>
      <c r="L119" t="s">
        <v>35</v>
      </c>
    </row>
    <row r="120" spans="1:12" x14ac:dyDescent="0.3">
      <c r="A120" t="s">
        <v>261</v>
      </c>
      <c r="B120" s="1">
        <v>46142</v>
      </c>
      <c r="C120" t="s">
        <v>262</v>
      </c>
      <c r="D120" t="s">
        <v>21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16</v>
      </c>
    </row>
    <row r="121" spans="1:12" x14ac:dyDescent="0.3">
      <c r="A121" t="s">
        <v>263</v>
      </c>
      <c r="B121" s="1">
        <v>46143</v>
      </c>
      <c r="C121" t="s">
        <v>264</v>
      </c>
      <c r="D121" t="s">
        <v>14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16</v>
      </c>
    </row>
    <row r="122" spans="1:12" x14ac:dyDescent="0.3">
      <c r="A122" t="s">
        <v>265</v>
      </c>
      <c r="B122" s="1">
        <v>46144</v>
      </c>
      <c r="C122" t="s">
        <v>266</v>
      </c>
      <c r="D122" t="s">
        <v>34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27</v>
      </c>
      <c r="K122" t="s">
        <v>27</v>
      </c>
      <c r="L122" t="s">
        <v>31</v>
      </c>
    </row>
    <row r="123" spans="1:12" x14ac:dyDescent="0.3">
      <c r="A123" t="s">
        <v>267</v>
      </c>
      <c r="B123" s="1">
        <v>46145</v>
      </c>
      <c r="C123" t="s">
        <v>268</v>
      </c>
      <c r="D123" t="s">
        <v>21</v>
      </c>
      <c r="E123" t="s">
        <v>15</v>
      </c>
      <c r="F123" t="s">
        <v>27</v>
      </c>
      <c r="G123" t="s">
        <v>15</v>
      </c>
      <c r="H123" t="s">
        <v>15</v>
      </c>
      <c r="I123" t="s">
        <v>15</v>
      </c>
      <c r="J123" t="s">
        <v>15</v>
      </c>
      <c r="K123" t="s">
        <v>27</v>
      </c>
      <c r="L123" t="s">
        <v>35</v>
      </c>
    </row>
    <row r="124" spans="1:12" x14ac:dyDescent="0.3">
      <c r="A124" t="s">
        <v>269</v>
      </c>
      <c r="B124" s="1">
        <v>46146</v>
      </c>
      <c r="C124" t="s">
        <v>270</v>
      </c>
      <c r="D124" t="s">
        <v>14</v>
      </c>
      <c r="E124" t="s">
        <v>27</v>
      </c>
      <c r="F124" t="s">
        <v>27</v>
      </c>
      <c r="G124" t="s">
        <v>27</v>
      </c>
      <c r="H124" t="s">
        <v>15</v>
      </c>
      <c r="I124" t="s">
        <v>15</v>
      </c>
      <c r="J124" t="s">
        <v>15</v>
      </c>
      <c r="K124" t="s">
        <v>27</v>
      </c>
      <c r="L124" t="s">
        <v>35</v>
      </c>
    </row>
    <row r="125" spans="1:12" x14ac:dyDescent="0.3">
      <c r="A125" t="s">
        <v>271</v>
      </c>
      <c r="B125" s="1">
        <v>46147</v>
      </c>
      <c r="C125" t="s">
        <v>272</v>
      </c>
      <c r="D125" t="s">
        <v>34</v>
      </c>
      <c r="E125" t="s">
        <v>15</v>
      </c>
      <c r="F125" t="s">
        <v>27</v>
      </c>
      <c r="G125" t="s">
        <v>15</v>
      </c>
      <c r="H125" t="s">
        <v>15</v>
      </c>
      <c r="I125" t="s">
        <v>15</v>
      </c>
      <c r="J125" t="s">
        <v>15</v>
      </c>
      <c r="K125" t="s">
        <v>27</v>
      </c>
      <c r="L125" t="s">
        <v>35</v>
      </c>
    </row>
    <row r="126" spans="1:12" x14ac:dyDescent="0.3">
      <c r="A126" t="s">
        <v>273</v>
      </c>
      <c r="B126" s="1">
        <v>46148</v>
      </c>
      <c r="C126" t="s">
        <v>274</v>
      </c>
      <c r="D126" t="s">
        <v>44</v>
      </c>
      <c r="E126" t="s">
        <v>15</v>
      </c>
      <c r="F126" t="s">
        <v>15</v>
      </c>
      <c r="G126" t="s">
        <v>15</v>
      </c>
      <c r="H126" t="s">
        <v>15</v>
      </c>
      <c r="I126" t="s">
        <v>27</v>
      </c>
      <c r="J126" t="s">
        <v>27</v>
      </c>
      <c r="K126" t="s">
        <v>27</v>
      </c>
      <c r="L126" t="s">
        <v>28</v>
      </c>
    </row>
    <row r="127" spans="1:12" x14ac:dyDescent="0.3">
      <c r="A127" t="s">
        <v>275</v>
      </c>
      <c r="B127" s="1">
        <v>46149</v>
      </c>
      <c r="C127" t="s">
        <v>276</v>
      </c>
      <c r="D127" t="s">
        <v>44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27</v>
      </c>
      <c r="K127" t="s">
        <v>27</v>
      </c>
      <c r="L127" t="s">
        <v>28</v>
      </c>
    </row>
    <row r="128" spans="1:12" x14ac:dyDescent="0.3">
      <c r="A128" t="s">
        <v>277</v>
      </c>
      <c r="B128" s="1">
        <v>46150</v>
      </c>
      <c r="C128" t="s">
        <v>278</v>
      </c>
      <c r="D128" t="s">
        <v>21</v>
      </c>
      <c r="E128" t="s">
        <v>15</v>
      </c>
      <c r="F128" t="s">
        <v>27</v>
      </c>
      <c r="G128" t="s">
        <v>15</v>
      </c>
      <c r="H128" t="s">
        <v>15</v>
      </c>
      <c r="I128" t="s">
        <v>15</v>
      </c>
      <c r="J128" t="s">
        <v>15</v>
      </c>
      <c r="K128" t="s">
        <v>27</v>
      </c>
      <c r="L128" t="s">
        <v>35</v>
      </c>
    </row>
    <row r="129" spans="1:12" x14ac:dyDescent="0.3">
      <c r="A129" t="s">
        <v>279</v>
      </c>
      <c r="B129" s="1">
        <v>46151</v>
      </c>
      <c r="C129" t="s">
        <v>280</v>
      </c>
      <c r="D129" t="s">
        <v>44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16</v>
      </c>
    </row>
    <row r="130" spans="1:12" x14ac:dyDescent="0.3">
      <c r="A130" t="s">
        <v>281</v>
      </c>
      <c r="B130" s="1">
        <v>46152</v>
      </c>
      <c r="C130" t="s">
        <v>282</v>
      </c>
      <c r="D130" t="s">
        <v>26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16</v>
      </c>
    </row>
    <row r="131" spans="1:12" x14ac:dyDescent="0.3">
      <c r="A131" t="s">
        <v>283</v>
      </c>
      <c r="B131" s="1">
        <v>46153</v>
      </c>
      <c r="C131" t="s">
        <v>284</v>
      </c>
      <c r="D131" t="s">
        <v>21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16</v>
      </c>
    </row>
    <row r="132" spans="1:12" x14ac:dyDescent="0.3">
      <c r="A132" t="s">
        <v>285</v>
      </c>
      <c r="B132" s="1">
        <v>46154</v>
      </c>
      <c r="C132" t="s">
        <v>286</v>
      </c>
      <c r="D132" t="s">
        <v>26</v>
      </c>
      <c r="E132" t="s">
        <v>15</v>
      </c>
      <c r="F132" t="s">
        <v>27</v>
      </c>
      <c r="G132" t="s">
        <v>15</v>
      </c>
      <c r="H132" t="s">
        <v>15</v>
      </c>
      <c r="I132" t="s">
        <v>15</v>
      </c>
      <c r="J132" t="s">
        <v>15</v>
      </c>
      <c r="K132" t="s">
        <v>27</v>
      </c>
      <c r="L132" t="s">
        <v>28</v>
      </c>
    </row>
    <row r="133" spans="1:12" x14ac:dyDescent="0.3">
      <c r="A133" t="s">
        <v>287</v>
      </c>
      <c r="B133" s="1">
        <v>46155</v>
      </c>
      <c r="C133" t="s">
        <v>288</v>
      </c>
      <c r="D133" t="s">
        <v>26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16</v>
      </c>
    </row>
    <row r="134" spans="1:12" x14ac:dyDescent="0.3">
      <c r="A134" t="s">
        <v>289</v>
      </c>
      <c r="B134" s="1">
        <v>46156</v>
      </c>
      <c r="C134" t="s">
        <v>290</v>
      </c>
      <c r="D134" t="s">
        <v>14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16</v>
      </c>
    </row>
    <row r="135" spans="1:12" x14ac:dyDescent="0.3">
      <c r="A135" t="s">
        <v>291</v>
      </c>
      <c r="B135" s="1">
        <v>46157</v>
      </c>
      <c r="C135" t="s">
        <v>292</v>
      </c>
      <c r="D135" t="s">
        <v>21</v>
      </c>
      <c r="E135" t="s">
        <v>27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27</v>
      </c>
      <c r="L135" t="s">
        <v>74</v>
      </c>
    </row>
    <row r="136" spans="1:12" x14ac:dyDescent="0.3">
      <c r="A136" t="s">
        <v>293</v>
      </c>
      <c r="B136" s="1">
        <v>46158</v>
      </c>
      <c r="C136" t="s">
        <v>294</v>
      </c>
      <c r="D136" t="s">
        <v>44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27</v>
      </c>
      <c r="K136" t="s">
        <v>27</v>
      </c>
      <c r="L136" t="s">
        <v>51</v>
      </c>
    </row>
    <row r="137" spans="1:12" x14ac:dyDescent="0.3">
      <c r="A137" t="s">
        <v>295</v>
      </c>
      <c r="B137" s="1">
        <v>46159</v>
      </c>
      <c r="C137" t="s">
        <v>296</v>
      </c>
      <c r="D137" t="s">
        <v>21</v>
      </c>
      <c r="E137" t="s">
        <v>15</v>
      </c>
      <c r="F137" t="s">
        <v>15</v>
      </c>
      <c r="G137" t="s">
        <v>15</v>
      </c>
      <c r="H137" t="s">
        <v>15</v>
      </c>
      <c r="I137" t="s">
        <v>27</v>
      </c>
      <c r="J137" t="s">
        <v>15</v>
      </c>
      <c r="K137" t="s">
        <v>27</v>
      </c>
      <c r="L137" t="s">
        <v>28</v>
      </c>
    </row>
    <row r="138" spans="1:12" x14ac:dyDescent="0.3">
      <c r="A138" t="s">
        <v>297</v>
      </c>
      <c r="B138" s="1">
        <v>46160</v>
      </c>
      <c r="C138" t="s">
        <v>298</v>
      </c>
      <c r="D138" t="s">
        <v>26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27</v>
      </c>
      <c r="K138" t="s">
        <v>27</v>
      </c>
      <c r="L138" t="s">
        <v>28</v>
      </c>
    </row>
    <row r="139" spans="1:12" x14ac:dyDescent="0.3">
      <c r="A139" t="s">
        <v>299</v>
      </c>
      <c r="B139" s="1">
        <v>46161</v>
      </c>
      <c r="C139" t="s">
        <v>300</v>
      </c>
      <c r="D139" t="s">
        <v>44</v>
      </c>
      <c r="E139" t="s">
        <v>15</v>
      </c>
      <c r="F139" t="s">
        <v>27</v>
      </c>
      <c r="G139" t="s">
        <v>15</v>
      </c>
      <c r="H139" t="s">
        <v>15</v>
      </c>
      <c r="I139" t="s">
        <v>15</v>
      </c>
      <c r="J139" t="s">
        <v>15</v>
      </c>
      <c r="K139" t="s">
        <v>27</v>
      </c>
      <c r="L139" t="s">
        <v>51</v>
      </c>
    </row>
    <row r="140" spans="1:12" x14ac:dyDescent="0.3">
      <c r="A140" t="s">
        <v>301</v>
      </c>
      <c r="B140" s="1">
        <v>46162</v>
      </c>
      <c r="C140" t="s">
        <v>302</v>
      </c>
      <c r="D140" t="s">
        <v>44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16</v>
      </c>
    </row>
    <row r="141" spans="1:12" x14ac:dyDescent="0.3">
      <c r="A141" t="s">
        <v>303</v>
      </c>
      <c r="B141" s="1">
        <v>46163</v>
      </c>
      <c r="C141" t="s">
        <v>304</v>
      </c>
      <c r="D141" t="s">
        <v>44</v>
      </c>
      <c r="E141" t="s">
        <v>27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27</v>
      </c>
      <c r="L141" t="s">
        <v>28</v>
      </c>
    </row>
    <row r="142" spans="1:12" x14ac:dyDescent="0.3">
      <c r="A142" t="s">
        <v>305</v>
      </c>
      <c r="B142" s="1">
        <v>46164</v>
      </c>
      <c r="C142" t="s">
        <v>306</v>
      </c>
      <c r="D142" t="s">
        <v>21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27</v>
      </c>
      <c r="K142" t="s">
        <v>27</v>
      </c>
      <c r="L142" t="s">
        <v>74</v>
      </c>
    </row>
    <row r="143" spans="1:12" x14ac:dyDescent="0.3">
      <c r="A143" t="s">
        <v>307</v>
      </c>
      <c r="B143" s="1">
        <v>46165</v>
      </c>
      <c r="C143" t="s">
        <v>308</v>
      </c>
      <c r="D143" t="s">
        <v>34</v>
      </c>
      <c r="E143" t="s">
        <v>15</v>
      </c>
      <c r="F143" t="s">
        <v>15</v>
      </c>
      <c r="G143" t="s">
        <v>27</v>
      </c>
      <c r="H143" t="s">
        <v>15</v>
      </c>
      <c r="I143" t="s">
        <v>15</v>
      </c>
      <c r="J143" t="s">
        <v>15</v>
      </c>
      <c r="K143" t="s">
        <v>27</v>
      </c>
      <c r="L143" t="s">
        <v>35</v>
      </c>
    </row>
    <row r="144" spans="1:12" x14ac:dyDescent="0.3">
      <c r="A144" t="s">
        <v>309</v>
      </c>
      <c r="B144" s="1">
        <v>46166</v>
      </c>
      <c r="C144" t="s">
        <v>310</v>
      </c>
      <c r="D144" t="s">
        <v>21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27</v>
      </c>
      <c r="K144" t="s">
        <v>27</v>
      </c>
      <c r="L144" t="s">
        <v>28</v>
      </c>
    </row>
    <row r="145" spans="1:12" x14ac:dyDescent="0.3">
      <c r="A145" t="s">
        <v>311</v>
      </c>
      <c r="B145" s="1">
        <v>46167</v>
      </c>
      <c r="C145" t="s">
        <v>312</v>
      </c>
      <c r="D145" t="s">
        <v>34</v>
      </c>
      <c r="E145" t="s">
        <v>27</v>
      </c>
      <c r="F145" t="s">
        <v>15</v>
      </c>
      <c r="G145" t="s">
        <v>27</v>
      </c>
      <c r="H145" t="s">
        <v>15</v>
      </c>
      <c r="I145" t="s">
        <v>15</v>
      </c>
      <c r="J145" t="s">
        <v>27</v>
      </c>
      <c r="K145" t="s">
        <v>27</v>
      </c>
      <c r="L145" t="s">
        <v>35</v>
      </c>
    </row>
    <row r="146" spans="1:12" x14ac:dyDescent="0.3">
      <c r="A146" t="s">
        <v>313</v>
      </c>
      <c r="B146" s="1">
        <v>46168</v>
      </c>
      <c r="C146" t="s">
        <v>314</v>
      </c>
      <c r="D146" t="s">
        <v>14</v>
      </c>
      <c r="E146" t="s">
        <v>15</v>
      </c>
      <c r="F146" t="s">
        <v>15</v>
      </c>
      <c r="G146" t="s">
        <v>27</v>
      </c>
      <c r="H146" t="s">
        <v>15</v>
      </c>
      <c r="I146" t="s">
        <v>15</v>
      </c>
      <c r="J146" t="s">
        <v>15</v>
      </c>
      <c r="K146" t="s">
        <v>27</v>
      </c>
      <c r="L146" t="s">
        <v>31</v>
      </c>
    </row>
    <row r="147" spans="1:12" x14ac:dyDescent="0.3">
      <c r="A147" t="s">
        <v>315</v>
      </c>
      <c r="B147" s="1">
        <v>46169</v>
      </c>
      <c r="C147" t="s">
        <v>316</v>
      </c>
      <c r="D147" t="s">
        <v>26</v>
      </c>
      <c r="E147" t="s">
        <v>15</v>
      </c>
      <c r="F147" t="s">
        <v>27</v>
      </c>
      <c r="G147" t="s">
        <v>27</v>
      </c>
      <c r="H147" t="s">
        <v>15</v>
      </c>
      <c r="I147" t="s">
        <v>15</v>
      </c>
      <c r="J147" t="s">
        <v>15</v>
      </c>
      <c r="K147" t="s">
        <v>27</v>
      </c>
      <c r="L147" t="s">
        <v>28</v>
      </c>
    </row>
    <row r="148" spans="1:12" x14ac:dyDescent="0.3">
      <c r="A148" t="s">
        <v>317</v>
      </c>
      <c r="B148" s="1">
        <v>46170</v>
      </c>
      <c r="C148" t="s">
        <v>318</v>
      </c>
      <c r="D148" t="s">
        <v>34</v>
      </c>
      <c r="E148" t="s">
        <v>27</v>
      </c>
      <c r="F148" t="s">
        <v>15</v>
      </c>
      <c r="G148" t="s">
        <v>15</v>
      </c>
      <c r="H148" t="s">
        <v>15</v>
      </c>
      <c r="I148" t="s">
        <v>15</v>
      </c>
      <c r="J148" t="s">
        <v>27</v>
      </c>
      <c r="K148" t="s">
        <v>27</v>
      </c>
      <c r="L148" t="s">
        <v>31</v>
      </c>
    </row>
    <row r="149" spans="1:12" x14ac:dyDescent="0.3">
      <c r="A149" t="s">
        <v>319</v>
      </c>
      <c r="B149" s="1">
        <v>46171</v>
      </c>
      <c r="C149" t="s">
        <v>320</v>
      </c>
      <c r="D149" t="s">
        <v>44</v>
      </c>
      <c r="E149" t="s">
        <v>15</v>
      </c>
      <c r="F149" t="s">
        <v>15</v>
      </c>
      <c r="G149" t="s">
        <v>15</v>
      </c>
      <c r="H149" t="s">
        <v>27</v>
      </c>
      <c r="I149" t="s">
        <v>15</v>
      </c>
      <c r="J149" t="s">
        <v>15</v>
      </c>
      <c r="K149" t="s">
        <v>27</v>
      </c>
      <c r="L149" t="s">
        <v>51</v>
      </c>
    </row>
    <row r="150" spans="1:12" x14ac:dyDescent="0.3">
      <c r="A150" t="s">
        <v>321</v>
      </c>
      <c r="B150" s="1">
        <v>46172</v>
      </c>
      <c r="C150" t="s">
        <v>322</v>
      </c>
      <c r="D150" t="s">
        <v>44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16</v>
      </c>
    </row>
    <row r="151" spans="1:12" x14ac:dyDescent="0.3">
      <c r="A151" t="s">
        <v>323</v>
      </c>
      <c r="B151" s="1">
        <v>46173</v>
      </c>
      <c r="C151" t="s">
        <v>324</v>
      </c>
      <c r="D151" t="s">
        <v>21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16</v>
      </c>
    </row>
    <row r="152" spans="1:12" x14ac:dyDescent="0.3">
      <c r="A152" t="s">
        <v>325</v>
      </c>
      <c r="B152" s="1">
        <v>46174</v>
      </c>
      <c r="C152" t="s">
        <v>326</v>
      </c>
      <c r="D152" t="s">
        <v>21</v>
      </c>
      <c r="E152" t="s">
        <v>15</v>
      </c>
      <c r="F152" t="s">
        <v>27</v>
      </c>
      <c r="G152" t="s">
        <v>27</v>
      </c>
      <c r="H152" t="s">
        <v>27</v>
      </c>
      <c r="I152" t="s">
        <v>15</v>
      </c>
      <c r="J152" t="s">
        <v>15</v>
      </c>
      <c r="K152" t="s">
        <v>27</v>
      </c>
      <c r="L152" t="s">
        <v>35</v>
      </c>
    </row>
    <row r="153" spans="1:12" x14ac:dyDescent="0.3">
      <c r="A153" t="s">
        <v>327</v>
      </c>
      <c r="B153" s="1">
        <v>46175</v>
      </c>
      <c r="C153" t="s">
        <v>328</v>
      </c>
      <c r="D153" t="s">
        <v>34</v>
      </c>
      <c r="E153" t="s">
        <v>27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27</v>
      </c>
      <c r="L153" t="s">
        <v>35</v>
      </c>
    </row>
    <row r="154" spans="1:12" x14ac:dyDescent="0.3">
      <c r="A154" t="s">
        <v>329</v>
      </c>
      <c r="B154" s="1">
        <v>46176</v>
      </c>
      <c r="C154" t="s">
        <v>330</v>
      </c>
      <c r="D154" t="s">
        <v>21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16</v>
      </c>
    </row>
    <row r="155" spans="1:12" x14ac:dyDescent="0.3">
      <c r="A155" t="s">
        <v>331</v>
      </c>
      <c r="B155" s="1">
        <v>46177</v>
      </c>
      <c r="C155" t="s">
        <v>332</v>
      </c>
      <c r="D155" t="s">
        <v>26</v>
      </c>
      <c r="E155" t="s">
        <v>27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27</v>
      </c>
      <c r="L155" t="s">
        <v>28</v>
      </c>
    </row>
    <row r="156" spans="1:12" x14ac:dyDescent="0.3">
      <c r="A156" t="s">
        <v>333</v>
      </c>
      <c r="B156" s="1">
        <v>46178</v>
      </c>
      <c r="C156" t="s">
        <v>334</v>
      </c>
      <c r="D156" t="s">
        <v>21</v>
      </c>
      <c r="E156" t="s">
        <v>15</v>
      </c>
      <c r="F156" t="s">
        <v>27</v>
      </c>
      <c r="G156" t="s">
        <v>15</v>
      </c>
      <c r="H156" t="s">
        <v>15</v>
      </c>
      <c r="I156" t="s">
        <v>15</v>
      </c>
      <c r="J156" t="s">
        <v>15</v>
      </c>
      <c r="K156" t="s">
        <v>27</v>
      </c>
      <c r="L156" t="s">
        <v>31</v>
      </c>
    </row>
    <row r="157" spans="1:12" x14ac:dyDescent="0.3">
      <c r="A157" t="s">
        <v>335</v>
      </c>
      <c r="B157" s="1">
        <v>46179</v>
      </c>
      <c r="C157" t="s">
        <v>336</v>
      </c>
      <c r="D157" t="s">
        <v>44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16</v>
      </c>
    </row>
    <row r="158" spans="1:12" x14ac:dyDescent="0.3">
      <c r="A158" t="s">
        <v>337</v>
      </c>
      <c r="B158" s="1">
        <v>46180</v>
      </c>
      <c r="C158" t="s">
        <v>338</v>
      </c>
      <c r="D158" t="s">
        <v>14</v>
      </c>
      <c r="E158" t="s">
        <v>15</v>
      </c>
      <c r="F158" t="s">
        <v>15</v>
      </c>
      <c r="G158" t="s">
        <v>15</v>
      </c>
      <c r="H158" t="s">
        <v>27</v>
      </c>
      <c r="I158" t="s">
        <v>15</v>
      </c>
      <c r="J158" t="s">
        <v>15</v>
      </c>
      <c r="K158" t="s">
        <v>27</v>
      </c>
      <c r="L158" t="s">
        <v>31</v>
      </c>
    </row>
    <row r="159" spans="1:12" x14ac:dyDescent="0.3">
      <c r="A159" t="s">
        <v>339</v>
      </c>
      <c r="B159" s="1">
        <v>46181</v>
      </c>
      <c r="C159" t="s">
        <v>340</v>
      </c>
      <c r="D159" t="s">
        <v>21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16</v>
      </c>
    </row>
    <row r="160" spans="1:12" x14ac:dyDescent="0.3">
      <c r="A160" t="s">
        <v>341</v>
      </c>
      <c r="B160" s="1">
        <v>46182</v>
      </c>
      <c r="C160" t="s">
        <v>342</v>
      </c>
      <c r="D160" t="s">
        <v>34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16</v>
      </c>
    </row>
    <row r="161" spans="1:12" x14ac:dyDescent="0.3">
      <c r="A161" t="s">
        <v>343</v>
      </c>
      <c r="B161" s="1">
        <v>46183</v>
      </c>
      <c r="C161" t="s">
        <v>344</v>
      </c>
      <c r="D161" t="s">
        <v>26</v>
      </c>
      <c r="E161" t="s">
        <v>27</v>
      </c>
      <c r="F161" t="s">
        <v>27</v>
      </c>
      <c r="G161" t="s">
        <v>15</v>
      </c>
      <c r="H161" t="s">
        <v>15</v>
      </c>
      <c r="I161" t="s">
        <v>15</v>
      </c>
      <c r="J161" t="s">
        <v>27</v>
      </c>
      <c r="K161" t="s">
        <v>27</v>
      </c>
      <c r="L161" t="s">
        <v>31</v>
      </c>
    </row>
    <row r="162" spans="1:12" x14ac:dyDescent="0.3">
      <c r="A162" t="s">
        <v>345</v>
      </c>
      <c r="B162" s="1">
        <v>46184</v>
      </c>
      <c r="C162" t="s">
        <v>346</v>
      </c>
      <c r="D162" t="s">
        <v>34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16</v>
      </c>
    </row>
    <row r="163" spans="1:12" x14ac:dyDescent="0.3">
      <c r="A163" t="s">
        <v>347</v>
      </c>
      <c r="B163" s="1">
        <v>46185</v>
      </c>
      <c r="C163" t="s">
        <v>348</v>
      </c>
      <c r="D163" t="s">
        <v>44</v>
      </c>
      <c r="E163" t="s">
        <v>27</v>
      </c>
      <c r="F163" t="s">
        <v>27</v>
      </c>
      <c r="G163" t="s">
        <v>15</v>
      </c>
      <c r="H163" t="s">
        <v>15</v>
      </c>
      <c r="I163" t="s">
        <v>15</v>
      </c>
      <c r="J163" t="s">
        <v>15</v>
      </c>
      <c r="K163" t="s">
        <v>27</v>
      </c>
      <c r="L163" t="s">
        <v>28</v>
      </c>
    </row>
    <row r="164" spans="1:12" x14ac:dyDescent="0.3">
      <c r="A164" t="s">
        <v>349</v>
      </c>
      <c r="B164" s="1">
        <v>46186</v>
      </c>
      <c r="C164" t="s">
        <v>350</v>
      </c>
      <c r="D164" t="s">
        <v>21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16</v>
      </c>
    </row>
    <row r="165" spans="1:12" x14ac:dyDescent="0.3">
      <c r="A165" t="s">
        <v>351</v>
      </c>
      <c r="B165" s="1">
        <v>46187</v>
      </c>
      <c r="C165" t="s">
        <v>352</v>
      </c>
      <c r="D165" t="s">
        <v>34</v>
      </c>
      <c r="E165" t="s">
        <v>15</v>
      </c>
      <c r="F165" t="s">
        <v>15</v>
      </c>
      <c r="G165" t="s">
        <v>15</v>
      </c>
      <c r="H165" t="s">
        <v>27</v>
      </c>
      <c r="I165" t="s">
        <v>15</v>
      </c>
      <c r="J165" t="s">
        <v>27</v>
      </c>
      <c r="K165" t="s">
        <v>27</v>
      </c>
      <c r="L165" t="s">
        <v>28</v>
      </c>
    </row>
    <row r="166" spans="1:12" x14ac:dyDescent="0.3">
      <c r="A166" t="s">
        <v>353</v>
      </c>
      <c r="B166" s="1">
        <v>46188</v>
      </c>
      <c r="C166" t="s">
        <v>354</v>
      </c>
      <c r="D166" t="s">
        <v>34</v>
      </c>
      <c r="E166" t="s">
        <v>15</v>
      </c>
      <c r="F166" t="s">
        <v>27</v>
      </c>
      <c r="G166" t="s">
        <v>15</v>
      </c>
      <c r="H166" t="s">
        <v>15</v>
      </c>
      <c r="I166" t="s">
        <v>15</v>
      </c>
      <c r="J166" t="s">
        <v>15</v>
      </c>
      <c r="K166" t="s">
        <v>27</v>
      </c>
      <c r="L166" t="s">
        <v>28</v>
      </c>
    </row>
    <row r="167" spans="1:12" x14ac:dyDescent="0.3">
      <c r="A167" t="s">
        <v>355</v>
      </c>
      <c r="B167" s="1">
        <v>46189</v>
      </c>
      <c r="C167" t="s">
        <v>356</v>
      </c>
      <c r="D167" t="s">
        <v>14</v>
      </c>
      <c r="E167" t="s">
        <v>27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27</v>
      </c>
      <c r="L167" t="s">
        <v>35</v>
      </c>
    </row>
    <row r="168" spans="1:12" x14ac:dyDescent="0.3">
      <c r="A168" t="s">
        <v>357</v>
      </c>
      <c r="B168" s="1">
        <v>46190</v>
      </c>
      <c r="C168" t="s">
        <v>358</v>
      </c>
      <c r="D168" t="s">
        <v>44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27</v>
      </c>
      <c r="K168" t="s">
        <v>27</v>
      </c>
      <c r="L168" t="s">
        <v>31</v>
      </c>
    </row>
    <row r="169" spans="1:12" x14ac:dyDescent="0.3">
      <c r="A169" t="s">
        <v>359</v>
      </c>
      <c r="B169" s="1">
        <v>46191</v>
      </c>
      <c r="C169" t="s">
        <v>360</v>
      </c>
      <c r="D169" t="s">
        <v>34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16</v>
      </c>
    </row>
    <row r="170" spans="1:12" x14ac:dyDescent="0.3">
      <c r="A170" t="s">
        <v>361</v>
      </c>
      <c r="B170" s="1">
        <v>46192</v>
      </c>
      <c r="C170" t="s">
        <v>362</v>
      </c>
      <c r="D170" t="s">
        <v>21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16</v>
      </c>
    </row>
    <row r="171" spans="1:12" x14ac:dyDescent="0.3">
      <c r="A171" t="s">
        <v>363</v>
      </c>
      <c r="B171" s="1">
        <v>46193</v>
      </c>
      <c r="C171" t="s">
        <v>364</v>
      </c>
      <c r="D171" t="s">
        <v>14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16</v>
      </c>
    </row>
    <row r="172" spans="1:12" x14ac:dyDescent="0.3">
      <c r="A172" t="s">
        <v>365</v>
      </c>
      <c r="B172" s="1">
        <v>46194</v>
      </c>
      <c r="C172" t="s">
        <v>366</v>
      </c>
      <c r="D172" t="s">
        <v>44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16</v>
      </c>
    </row>
    <row r="173" spans="1:12" x14ac:dyDescent="0.3">
      <c r="A173" t="s">
        <v>367</v>
      </c>
      <c r="B173" s="1">
        <v>46195</v>
      </c>
      <c r="C173" t="s">
        <v>368</v>
      </c>
      <c r="D173" t="s">
        <v>34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16</v>
      </c>
    </row>
    <row r="174" spans="1:12" x14ac:dyDescent="0.3">
      <c r="A174" t="s">
        <v>369</v>
      </c>
      <c r="B174" s="1">
        <v>46196</v>
      </c>
      <c r="C174" t="s">
        <v>370</v>
      </c>
      <c r="D174" t="s">
        <v>21</v>
      </c>
      <c r="E174" t="s">
        <v>15</v>
      </c>
      <c r="F174" t="s">
        <v>15</v>
      </c>
      <c r="G174" t="s">
        <v>27</v>
      </c>
      <c r="H174" t="s">
        <v>15</v>
      </c>
      <c r="I174" t="s">
        <v>15</v>
      </c>
      <c r="J174" t="s">
        <v>15</v>
      </c>
      <c r="K174" t="s">
        <v>27</v>
      </c>
      <c r="L174" t="s">
        <v>28</v>
      </c>
    </row>
    <row r="175" spans="1:12" x14ac:dyDescent="0.3">
      <c r="A175" t="s">
        <v>371</v>
      </c>
      <c r="B175" s="1">
        <v>46197</v>
      </c>
      <c r="C175" t="s">
        <v>372</v>
      </c>
      <c r="D175" t="s">
        <v>34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27</v>
      </c>
      <c r="K175" t="s">
        <v>27</v>
      </c>
      <c r="L175" t="s">
        <v>28</v>
      </c>
    </row>
    <row r="176" spans="1:12" x14ac:dyDescent="0.3">
      <c r="A176" t="s">
        <v>373</v>
      </c>
      <c r="B176" s="1">
        <v>46198</v>
      </c>
      <c r="C176" t="s">
        <v>374</v>
      </c>
      <c r="D176" t="s">
        <v>21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16</v>
      </c>
    </row>
    <row r="177" spans="1:12" x14ac:dyDescent="0.3">
      <c r="A177" t="s">
        <v>375</v>
      </c>
      <c r="B177" s="1">
        <v>46199</v>
      </c>
      <c r="C177" t="s">
        <v>376</v>
      </c>
      <c r="D177" t="s">
        <v>14</v>
      </c>
      <c r="E177" t="s">
        <v>27</v>
      </c>
      <c r="F177" t="s">
        <v>27</v>
      </c>
      <c r="G177" t="s">
        <v>27</v>
      </c>
      <c r="H177" t="s">
        <v>15</v>
      </c>
      <c r="I177" t="s">
        <v>15</v>
      </c>
      <c r="J177" t="s">
        <v>15</v>
      </c>
      <c r="K177" t="s">
        <v>27</v>
      </c>
      <c r="L177" t="s">
        <v>28</v>
      </c>
    </row>
    <row r="178" spans="1:12" x14ac:dyDescent="0.3">
      <c r="A178" t="s">
        <v>377</v>
      </c>
      <c r="B178" s="1">
        <v>46200</v>
      </c>
      <c r="C178" t="s">
        <v>378</v>
      </c>
      <c r="D178" t="s">
        <v>14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27</v>
      </c>
      <c r="K178" t="s">
        <v>27</v>
      </c>
      <c r="L178" t="s">
        <v>28</v>
      </c>
    </row>
    <row r="179" spans="1:12" x14ac:dyDescent="0.3">
      <c r="A179" t="s">
        <v>379</v>
      </c>
      <c r="B179" s="1">
        <v>46201</v>
      </c>
      <c r="C179" t="s">
        <v>380</v>
      </c>
      <c r="D179" t="s">
        <v>14</v>
      </c>
      <c r="E179" t="s">
        <v>15</v>
      </c>
      <c r="F179" t="s">
        <v>15</v>
      </c>
      <c r="G179" t="s">
        <v>15</v>
      </c>
      <c r="H179" t="s">
        <v>27</v>
      </c>
      <c r="I179" t="s">
        <v>15</v>
      </c>
      <c r="J179" t="s">
        <v>15</v>
      </c>
      <c r="K179" t="s">
        <v>27</v>
      </c>
      <c r="L179" t="s">
        <v>35</v>
      </c>
    </row>
    <row r="180" spans="1:12" x14ac:dyDescent="0.3">
      <c r="A180" t="s">
        <v>381</v>
      </c>
      <c r="B180" s="1">
        <v>46202</v>
      </c>
      <c r="C180" t="s">
        <v>382</v>
      </c>
      <c r="D180" t="s">
        <v>26</v>
      </c>
      <c r="E180" t="s">
        <v>15</v>
      </c>
      <c r="F180" t="s">
        <v>15</v>
      </c>
      <c r="G180" t="s">
        <v>15</v>
      </c>
      <c r="H180" t="s">
        <v>15</v>
      </c>
      <c r="I180" t="s">
        <v>27</v>
      </c>
      <c r="J180" t="s">
        <v>15</v>
      </c>
      <c r="K180" t="s">
        <v>27</v>
      </c>
      <c r="L180" t="s">
        <v>31</v>
      </c>
    </row>
    <row r="181" spans="1:12" x14ac:dyDescent="0.3">
      <c r="A181" t="s">
        <v>383</v>
      </c>
      <c r="B181" s="1">
        <v>46203</v>
      </c>
      <c r="C181" t="s">
        <v>384</v>
      </c>
      <c r="D181" t="s">
        <v>21</v>
      </c>
      <c r="E181" t="s">
        <v>15</v>
      </c>
      <c r="F181" t="s">
        <v>15</v>
      </c>
      <c r="G181" t="s">
        <v>15</v>
      </c>
      <c r="H181" t="s">
        <v>15</v>
      </c>
      <c r="I181" t="s">
        <v>27</v>
      </c>
      <c r="J181" t="s">
        <v>15</v>
      </c>
      <c r="K181" t="s">
        <v>27</v>
      </c>
      <c r="L181" t="s">
        <v>51</v>
      </c>
    </row>
    <row r="182" spans="1:12" x14ac:dyDescent="0.3">
      <c r="A182" t="s">
        <v>385</v>
      </c>
      <c r="B182" s="1">
        <v>46204</v>
      </c>
      <c r="C182" t="s">
        <v>386</v>
      </c>
      <c r="D182" t="s">
        <v>44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16</v>
      </c>
    </row>
    <row r="183" spans="1:12" x14ac:dyDescent="0.3">
      <c r="A183" t="s">
        <v>387</v>
      </c>
      <c r="B183" s="1">
        <v>46205</v>
      </c>
      <c r="C183" t="s">
        <v>388</v>
      </c>
      <c r="D183" t="s">
        <v>34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16</v>
      </c>
    </row>
    <row r="184" spans="1:12" x14ac:dyDescent="0.3">
      <c r="A184" t="s">
        <v>389</v>
      </c>
      <c r="B184" s="1">
        <v>46206</v>
      </c>
      <c r="C184" t="s">
        <v>390</v>
      </c>
      <c r="D184" t="s">
        <v>21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27</v>
      </c>
      <c r="K184" t="s">
        <v>27</v>
      </c>
      <c r="L184" t="s">
        <v>74</v>
      </c>
    </row>
    <row r="185" spans="1:12" x14ac:dyDescent="0.3">
      <c r="A185" t="s">
        <v>391</v>
      </c>
      <c r="B185" s="1">
        <v>46207</v>
      </c>
      <c r="C185" t="s">
        <v>392</v>
      </c>
      <c r="D185" t="s">
        <v>26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16</v>
      </c>
    </row>
    <row r="186" spans="1:12" x14ac:dyDescent="0.3">
      <c r="A186" t="s">
        <v>393</v>
      </c>
      <c r="B186" s="1">
        <v>46208</v>
      </c>
      <c r="C186" t="s">
        <v>394</v>
      </c>
      <c r="D186" t="s">
        <v>26</v>
      </c>
      <c r="E186" t="s">
        <v>15</v>
      </c>
      <c r="F186" t="s">
        <v>27</v>
      </c>
      <c r="G186" t="s">
        <v>15</v>
      </c>
      <c r="H186" t="s">
        <v>15</v>
      </c>
      <c r="I186" t="s">
        <v>15</v>
      </c>
      <c r="J186" t="s">
        <v>15</v>
      </c>
      <c r="K186" t="s">
        <v>27</v>
      </c>
      <c r="L186" t="s">
        <v>74</v>
      </c>
    </row>
    <row r="187" spans="1:12" x14ac:dyDescent="0.3">
      <c r="A187" t="s">
        <v>395</v>
      </c>
      <c r="B187" s="1">
        <v>46209</v>
      </c>
      <c r="C187" t="s">
        <v>396</v>
      </c>
      <c r="D187" t="s">
        <v>34</v>
      </c>
      <c r="E187" t="s">
        <v>15</v>
      </c>
      <c r="F187" t="s">
        <v>27</v>
      </c>
      <c r="G187" t="s">
        <v>15</v>
      </c>
      <c r="H187" t="s">
        <v>15</v>
      </c>
      <c r="I187" t="s">
        <v>15</v>
      </c>
      <c r="J187" t="s">
        <v>15</v>
      </c>
      <c r="K187" t="s">
        <v>27</v>
      </c>
      <c r="L187" t="s">
        <v>28</v>
      </c>
    </row>
    <row r="188" spans="1:12" x14ac:dyDescent="0.3">
      <c r="A188" t="s">
        <v>397</v>
      </c>
      <c r="B188" s="1">
        <v>46210</v>
      </c>
      <c r="C188" t="s">
        <v>398</v>
      </c>
      <c r="D188" t="s">
        <v>21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16</v>
      </c>
    </row>
    <row r="189" spans="1:12" x14ac:dyDescent="0.3">
      <c r="A189" t="s">
        <v>399</v>
      </c>
      <c r="B189" s="1">
        <v>46211</v>
      </c>
      <c r="C189" t="s">
        <v>400</v>
      </c>
      <c r="D189" t="s">
        <v>21</v>
      </c>
      <c r="E189" t="s">
        <v>15</v>
      </c>
      <c r="F189" t="s">
        <v>27</v>
      </c>
      <c r="G189" t="s">
        <v>27</v>
      </c>
      <c r="H189" t="s">
        <v>15</v>
      </c>
      <c r="I189" t="s">
        <v>15</v>
      </c>
      <c r="J189" t="s">
        <v>15</v>
      </c>
      <c r="K189" t="s">
        <v>27</v>
      </c>
      <c r="L189" t="s">
        <v>74</v>
      </c>
    </row>
    <row r="190" spans="1:12" x14ac:dyDescent="0.3">
      <c r="A190" t="s">
        <v>401</v>
      </c>
      <c r="B190" s="1">
        <v>46212</v>
      </c>
      <c r="C190" t="s">
        <v>402</v>
      </c>
      <c r="D190" t="s">
        <v>34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16</v>
      </c>
    </row>
    <row r="191" spans="1:12" x14ac:dyDescent="0.3">
      <c r="A191" t="s">
        <v>403</v>
      </c>
      <c r="B191" s="1">
        <v>46213</v>
      </c>
      <c r="C191" t="s">
        <v>404</v>
      </c>
      <c r="D191" t="s">
        <v>44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16</v>
      </c>
    </row>
    <row r="192" spans="1:12" x14ac:dyDescent="0.3">
      <c r="A192" t="s">
        <v>405</v>
      </c>
      <c r="B192" s="1">
        <v>46214</v>
      </c>
      <c r="C192" t="s">
        <v>406</v>
      </c>
      <c r="D192" t="s">
        <v>44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16</v>
      </c>
    </row>
    <row r="193" spans="1:12" x14ac:dyDescent="0.3">
      <c r="A193" t="s">
        <v>407</v>
      </c>
      <c r="B193" s="1">
        <v>46215</v>
      </c>
      <c r="C193" t="s">
        <v>408</v>
      </c>
      <c r="D193" t="s">
        <v>26</v>
      </c>
      <c r="E193" t="s">
        <v>15</v>
      </c>
      <c r="F193" t="s">
        <v>27</v>
      </c>
      <c r="G193" t="s">
        <v>15</v>
      </c>
      <c r="H193" t="s">
        <v>15</v>
      </c>
      <c r="I193" t="s">
        <v>15</v>
      </c>
      <c r="J193" t="s">
        <v>15</v>
      </c>
      <c r="K193" t="s">
        <v>27</v>
      </c>
      <c r="L193" t="s">
        <v>35</v>
      </c>
    </row>
    <row r="194" spans="1:12" x14ac:dyDescent="0.3">
      <c r="A194" t="s">
        <v>409</v>
      </c>
      <c r="B194" s="1">
        <v>46216</v>
      </c>
      <c r="C194" t="s">
        <v>410</v>
      </c>
      <c r="D194" t="s">
        <v>44</v>
      </c>
      <c r="E194" t="s">
        <v>15</v>
      </c>
      <c r="F194" t="s">
        <v>15</v>
      </c>
      <c r="G194" t="s">
        <v>27</v>
      </c>
      <c r="H194" t="s">
        <v>15</v>
      </c>
      <c r="I194" t="s">
        <v>27</v>
      </c>
      <c r="J194" t="s">
        <v>15</v>
      </c>
      <c r="K194" t="s">
        <v>27</v>
      </c>
      <c r="L194" t="s">
        <v>31</v>
      </c>
    </row>
    <row r="195" spans="1:12" x14ac:dyDescent="0.3">
      <c r="A195" t="s">
        <v>411</v>
      </c>
      <c r="B195" s="1">
        <v>46217</v>
      </c>
      <c r="C195" t="s">
        <v>412</v>
      </c>
      <c r="D195" t="s">
        <v>34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16</v>
      </c>
    </row>
    <row r="196" spans="1:12" x14ac:dyDescent="0.3">
      <c r="A196" t="s">
        <v>413</v>
      </c>
      <c r="B196" s="1">
        <v>46218</v>
      </c>
      <c r="C196" t="s">
        <v>414</v>
      </c>
      <c r="D196" t="s">
        <v>44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16</v>
      </c>
    </row>
    <row r="197" spans="1:12" x14ac:dyDescent="0.3">
      <c r="A197" t="s">
        <v>415</v>
      </c>
      <c r="B197" s="1">
        <v>46219</v>
      </c>
      <c r="C197" t="s">
        <v>416</v>
      </c>
      <c r="D197" t="s">
        <v>21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16</v>
      </c>
    </row>
    <row r="198" spans="1:12" x14ac:dyDescent="0.3">
      <c r="A198" t="s">
        <v>417</v>
      </c>
      <c r="B198" s="1">
        <v>46220</v>
      </c>
      <c r="C198" t="s">
        <v>418</v>
      </c>
      <c r="D198" t="s">
        <v>34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16</v>
      </c>
    </row>
    <row r="199" spans="1:12" x14ac:dyDescent="0.3">
      <c r="A199" t="s">
        <v>419</v>
      </c>
      <c r="B199" s="1">
        <v>46221</v>
      </c>
      <c r="C199" t="s">
        <v>420</v>
      </c>
      <c r="D199" t="s">
        <v>14</v>
      </c>
      <c r="E199" t="s">
        <v>15</v>
      </c>
      <c r="F199" t="s">
        <v>27</v>
      </c>
      <c r="G199" t="s">
        <v>15</v>
      </c>
      <c r="H199" t="s">
        <v>15</v>
      </c>
      <c r="I199" t="s">
        <v>15</v>
      </c>
      <c r="J199" t="s">
        <v>15</v>
      </c>
      <c r="K199" t="s">
        <v>27</v>
      </c>
      <c r="L199" t="s">
        <v>74</v>
      </c>
    </row>
    <row r="200" spans="1:12" x14ac:dyDescent="0.3">
      <c r="A200" t="s">
        <v>421</v>
      </c>
      <c r="B200" s="1">
        <v>46222</v>
      </c>
      <c r="C200" t="s">
        <v>422</v>
      </c>
      <c r="D200" t="s">
        <v>44</v>
      </c>
      <c r="E200" t="s">
        <v>15</v>
      </c>
      <c r="F200" t="s">
        <v>27</v>
      </c>
      <c r="G200" t="s">
        <v>15</v>
      </c>
      <c r="H200" t="s">
        <v>15</v>
      </c>
      <c r="I200" t="s">
        <v>15</v>
      </c>
      <c r="J200" t="s">
        <v>15</v>
      </c>
      <c r="K200" t="s">
        <v>27</v>
      </c>
      <c r="L200" t="s">
        <v>74</v>
      </c>
    </row>
    <row r="201" spans="1:12" x14ac:dyDescent="0.3">
      <c r="A201" t="s">
        <v>423</v>
      </c>
      <c r="B201" s="1">
        <v>46223</v>
      </c>
      <c r="C201" t="s">
        <v>424</v>
      </c>
      <c r="D201" t="s">
        <v>26</v>
      </c>
      <c r="E201" t="s">
        <v>15</v>
      </c>
      <c r="F201" t="s">
        <v>15</v>
      </c>
      <c r="G201" t="s">
        <v>27</v>
      </c>
      <c r="H201" t="s">
        <v>15</v>
      </c>
      <c r="I201" t="s">
        <v>15</v>
      </c>
      <c r="J201" t="s">
        <v>15</v>
      </c>
      <c r="K201" t="s">
        <v>27</v>
      </c>
      <c r="L20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KPIs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Bharti</dc:creator>
  <cp:lastModifiedBy>Madhu Bharti</cp:lastModifiedBy>
  <dcterms:created xsi:type="dcterms:W3CDTF">2026-06-16T04:40:11Z</dcterms:created>
  <dcterms:modified xsi:type="dcterms:W3CDTF">2026-06-16T06:09:01Z</dcterms:modified>
</cp:coreProperties>
</file>